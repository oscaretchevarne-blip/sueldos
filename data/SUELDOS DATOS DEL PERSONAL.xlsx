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tigravity Proyectos\Sueldos\"/>
    </mc:Choice>
  </mc:AlternateContent>
  <bookViews>
    <workbookView xWindow="0" yWindow="0" windowWidth="28800" windowHeight="11985"/>
  </bookViews>
  <sheets>
    <sheet name="HS EXTRAS" sheetId="1" r:id="rId1"/>
  </sheets>
  <externalReferences>
    <externalReference r:id="rId2"/>
  </externalReferences>
  <definedNames>
    <definedName name="_xlnm._FilterDatabase" localSheetId="0" hidden="1">'HS EXTRAS'!$A$1:$J$139</definedName>
    <definedName name="B100C" localSheetId="0">#REF!</definedName>
    <definedName name="B100C">#REF!</definedName>
    <definedName name="B100C_1" localSheetId="0">#REF!</definedName>
    <definedName name="B100C_1">#REF!</definedName>
    <definedName name="Excel_BuiltIn__FilterDatabase_1" localSheetId="0">#REF!</definedName>
    <definedName name="Excel_BuiltIn__FilterDatabase_1">#REF!</definedName>
    <definedName name="MAYANTZ" localSheetId="0">#REF!</definedName>
    <definedName name="MAYANTZ">#REF!</definedName>
    <definedName name="MAYANTZ_1" localSheetId="0">#REF!</definedName>
    <definedName name="MAYANTZ_1">#REF!</definedName>
    <definedName name="REMES" localSheetId="0">#REF!</definedName>
    <definedName name="REMES">#REF!</definedName>
    <definedName name="REMES_1" localSheetId="0">#REF!</definedName>
    <definedName name="REMES_1">#REF!</definedName>
    <definedName name="RIVERO1">'[1]RIVERO DEUDA KG'!$G$2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9" i="1" l="1"/>
  <c r="G64" i="1"/>
</calcChain>
</file>

<file path=xl/comments1.xml><?xml version="1.0" encoding="utf-8"?>
<comments xmlns="http://schemas.openxmlformats.org/spreadsheetml/2006/main">
  <authors>
    <author>Oscar Etchevarne</author>
  </authors>
  <commentList>
    <comment ref="I47" authorId="0" shapeId="0">
      <text>
        <r>
          <rPr>
            <b/>
            <sz val="10"/>
            <color indexed="81"/>
            <rFont val="Tahoma"/>
            <family val="2"/>
          </rPr>
          <t>Oscar Etchevarne:</t>
        </r>
        <r>
          <rPr>
            <sz val="10"/>
            <color indexed="81"/>
            <rFont val="Tahoma"/>
            <family val="2"/>
          </rPr>
          <t xml:space="preserve">
CELULAR</t>
        </r>
      </text>
    </comment>
    <comment ref="J47" authorId="0" shapeId="0">
      <text>
        <r>
          <rPr>
            <b/>
            <sz val="10"/>
            <color indexed="81"/>
            <rFont val="Tahoma"/>
            <family val="2"/>
          </rPr>
          <t>Oscar Etchevarne:</t>
        </r>
        <r>
          <rPr>
            <sz val="10"/>
            <color indexed="81"/>
            <rFont val="Tahoma"/>
            <family val="2"/>
          </rPr>
          <t xml:space="preserve">
28 000 siempre
 </t>
        </r>
      </text>
    </comment>
    <comment ref="J48" authorId="0" shapeId="0">
      <text>
        <r>
          <rPr>
            <b/>
            <sz val="10"/>
            <color indexed="81"/>
            <rFont val="Tahoma"/>
            <family val="2"/>
          </rPr>
          <t>Oscar Etchevarne:</t>
        </r>
        <r>
          <rPr>
            <sz val="10"/>
            <color indexed="81"/>
            <rFont val="Tahoma"/>
            <family val="2"/>
          </rPr>
          <t xml:space="preserve">
12150 siempre
6200 urgencias
 </t>
        </r>
      </text>
    </comment>
    <comment ref="J80" authorId="0" shapeId="0">
      <text>
        <r>
          <rPr>
            <b/>
            <sz val="10"/>
            <color indexed="81"/>
            <rFont val="Tahoma"/>
            <family val="2"/>
          </rPr>
          <t>Oscar Etchevarne:</t>
        </r>
        <r>
          <rPr>
            <sz val="10"/>
            <color indexed="81"/>
            <rFont val="Tahoma"/>
            <family val="2"/>
          </rPr>
          <t xml:space="preserve">
PATENTE ETIOS /HONDA 50%</t>
        </r>
      </text>
    </comment>
    <comment ref="J83" authorId="0" shapeId="0">
      <text>
        <r>
          <rPr>
            <b/>
            <sz val="10"/>
            <color indexed="81"/>
            <rFont val="Tahoma"/>
            <family val="2"/>
          </rPr>
          <t>Oscar Etchevarne:</t>
        </r>
        <r>
          <rPr>
            <sz val="10"/>
            <color indexed="81"/>
            <rFont val="Tahoma"/>
            <family val="2"/>
          </rPr>
          <t xml:space="preserve">
50% PATENTE AUTO</t>
        </r>
      </text>
    </comment>
  </commentList>
</comments>
</file>

<file path=xl/sharedStrings.xml><?xml version="1.0" encoding="utf-8"?>
<sst xmlns="http://schemas.openxmlformats.org/spreadsheetml/2006/main" count="441" uniqueCount="184">
  <si>
    <t>PERSONAL</t>
  </si>
  <si>
    <t>C.U.I.L.</t>
  </si>
  <si>
    <t>SECCION</t>
  </si>
  <si>
    <t>CATEGORIA</t>
  </si>
  <si>
    <t>Fecha
ingreso</t>
  </si>
  <si>
    <t>Diferencia
 sueldo</t>
  </si>
  <si>
    <t>premio
 product.</t>
  </si>
  <si>
    <t>Seguro</t>
  </si>
  <si>
    <t>Otro</t>
  </si>
  <si>
    <t>ACOSTA EMILIANO GASTON</t>
  </si>
  <si>
    <t>FABRICA</t>
  </si>
  <si>
    <t>OP.CALIFICADO</t>
  </si>
  <si>
    <t>EVENTUAL</t>
  </si>
  <si>
    <t>OPERARIO</t>
  </si>
  <si>
    <t>AGUIRRE MIGUEL ANGEL</t>
  </si>
  <si>
    <t>CAPATAZ</t>
  </si>
  <si>
    <t>AUXILIAR</t>
  </si>
  <si>
    <t>ALBARRACIN SANTIAGO</t>
  </si>
  <si>
    <t>ALBORNOZ DAMIAN</t>
  </si>
  <si>
    <t>MANTENIM.</t>
  </si>
  <si>
    <t>OPERADOR</t>
  </si>
  <si>
    <t>ALEGRE ALEXIS ISAIAS</t>
  </si>
  <si>
    <t>AMREIN MATIAS SEBASTIAN</t>
  </si>
  <si>
    <t>ARISTIQUI RICARDO ANDRES</t>
  </si>
  <si>
    <t>DEPOSITO</t>
  </si>
  <si>
    <t>CHOFER</t>
  </si>
  <si>
    <t>ASAD HORACIO FABIAN</t>
  </si>
  <si>
    <t>GERENTE</t>
  </si>
  <si>
    <t>BALMACEDA ALEXIS DANTE</t>
  </si>
  <si>
    <t>BARGERO GERMAN</t>
  </si>
  <si>
    <t>BARRANCO NESTOR RAUL</t>
  </si>
  <si>
    <t>COND.DE AUTOELEVADOR</t>
  </si>
  <si>
    <t>BARRIONUEVO RAUL ALBERTO</t>
  </si>
  <si>
    <t>BATAGLIA OSVALDO</t>
  </si>
  <si>
    <t>BENITEZ SERGIO J.</t>
  </si>
  <si>
    <t>ADMINIST.</t>
  </si>
  <si>
    <t>ADM. NIVEL 4</t>
  </si>
  <si>
    <t>BLAS GONZALO</t>
  </si>
  <si>
    <t>BOBADILLA PABLO ALBERO</t>
  </si>
  <si>
    <t>BOGADO ARIEL</t>
  </si>
  <si>
    <t>BORGOGNONI MARCELO FABIAN</t>
  </si>
  <si>
    <t>MED.OF.MANT.</t>
  </si>
  <si>
    <t>BRASSESCO RUBEN ALBERTO</t>
  </si>
  <si>
    <t>CAMPOS BRANDON EZEQUIEL</t>
  </si>
  <si>
    <t>CAPELETTI CRISTIAN DARIO</t>
  </si>
  <si>
    <t>OFIC.DE MANT.</t>
  </si>
  <si>
    <t>CARABAJAL ROBERTO RAUL</t>
  </si>
  <si>
    <t>CARUSO RODRIGO CARLOS</t>
  </si>
  <si>
    <t>CASOLI MIGUEL ANGEL</t>
  </si>
  <si>
    <t>CHAPARRO GUSTAVO SERAFIN</t>
  </si>
  <si>
    <t>COHEN MARIANO VIRGINIO</t>
  </si>
  <si>
    <t>COLDEBELLA DAMIAN ANTONIO</t>
  </si>
  <si>
    <t>CORONEL AXEL</t>
  </si>
  <si>
    <t>DE MIGUEL DANIEL FERNANDO</t>
  </si>
  <si>
    <t>DENARI MARTIN ALEJANDRO</t>
  </si>
  <si>
    <t>DI MARCO MAURICIO NICOLAS</t>
  </si>
  <si>
    <t>DURE JONATAN EMANUEL</t>
  </si>
  <si>
    <t>ELIZONDO MARCELO</t>
  </si>
  <si>
    <t>ETCHEVARNE OSCAR A.</t>
  </si>
  <si>
    <t>FERNANDEZ EMANUEL</t>
  </si>
  <si>
    <t>JEFE PRODUCCION</t>
  </si>
  <si>
    <t>FERNANDEZ HERNAN MATIAS</t>
  </si>
  <si>
    <t>FERNANDEZ IRENE BEATRIZ</t>
  </si>
  <si>
    <t>SDO.FUERA SIJIP</t>
  </si>
  <si>
    <t>FERNANDEZ MARCELA</t>
  </si>
  <si>
    <t>COMERCIALIZ.</t>
  </si>
  <si>
    <t>FLORES DAMIAN EZEQUIEL</t>
  </si>
  <si>
    <t>FLORES LAUTARO JUAN</t>
  </si>
  <si>
    <t>FRAILE LOPEZ GASTON</t>
  </si>
  <si>
    <t>FRANCO JONATAN EMANUEL</t>
  </si>
  <si>
    <t>GAITE MATIAS</t>
  </si>
  <si>
    <t>GALIMBERTI DANIEL OSCAR</t>
  </si>
  <si>
    <t>MATRICERIA</t>
  </si>
  <si>
    <t>JEFE MATRICERIA</t>
  </si>
  <si>
    <t>GALLEANO GUSTAVO HECTOR</t>
  </si>
  <si>
    <t>GALLO RAMON MAXIMILIANO</t>
  </si>
  <si>
    <t>GARCIA CRISTIAN DAMIAN</t>
  </si>
  <si>
    <t>GAUNA ALCIDES ESTEBAN</t>
  </si>
  <si>
    <t>GIMENEZ FRANCO NAHUEL</t>
  </si>
  <si>
    <t>GIMENEZ JUAN GABRIEL</t>
  </si>
  <si>
    <t>GIMENEZ RAUL OSCAR</t>
  </si>
  <si>
    <t>GIORDANO DAMIAN</t>
  </si>
  <si>
    <t>20-28582619-6</t>
  </si>
  <si>
    <t>ADM.NIVEL  3</t>
  </si>
  <si>
    <t>GIORGIO DANIEL OSCAR</t>
  </si>
  <si>
    <t>GODOY ROCIO MICAELA</t>
  </si>
  <si>
    <t>CALIDAD</t>
  </si>
  <si>
    <t>GOMEZ DARIO AGUSTIN</t>
  </si>
  <si>
    <t>GOMEZ JUSTO</t>
  </si>
  <si>
    <t>HALAVACS MAURICIO NICOLAS</t>
  </si>
  <si>
    <t>HEREÑU WALTER</t>
  </si>
  <si>
    <t>IGLESIAS CESAR ANDRES</t>
  </si>
  <si>
    <t>INFANTE MATIAS LEONEL</t>
  </si>
  <si>
    <t>INVIDIA MATIAS</t>
  </si>
  <si>
    <t>KEKEZ NAIARA LUJAN</t>
  </si>
  <si>
    <t>LODIS IVAN DAVID</t>
  </si>
  <si>
    <t>LOPEZ MAURO FERNANDO</t>
  </si>
  <si>
    <t>LORENZETTI GUSTAVO LUIS</t>
  </si>
  <si>
    <t>LUCERO LEANDRO PABLO</t>
  </si>
  <si>
    <t>LUJAN ISAIAS JOEL</t>
  </si>
  <si>
    <t>MACIEL LUCAS</t>
  </si>
  <si>
    <t>MANSILLA GUSTAVO ERNESTO</t>
  </si>
  <si>
    <t>MARIETTA CAMILA</t>
  </si>
  <si>
    <t>ENCARG. COMPRAS</t>
  </si>
  <si>
    <t>MARIETTA GABRIEL</t>
  </si>
  <si>
    <t>MARIETTA MARCELO R.</t>
  </si>
  <si>
    <t>MARIETTA VANINA LUCIA</t>
  </si>
  <si>
    <t>MARIETTA VICTORIA</t>
  </si>
  <si>
    <t>MARIO IVAN ANDRES</t>
  </si>
  <si>
    <t>MARTINEZ RUBEN</t>
  </si>
  <si>
    <t>MEDIAVILLA MARIANO LUCAS</t>
  </si>
  <si>
    <t>MEDINA BRIAN RUBEN</t>
  </si>
  <si>
    <t>MELGAREJO RENE DANIEL</t>
  </si>
  <si>
    <t>MERLO ENZO LEONEL</t>
  </si>
  <si>
    <t>MEZA MARTIN EMANUEL</t>
  </si>
  <si>
    <t>MOLINA RAUL ANGEL</t>
  </si>
  <si>
    <t>MONTIEL PABLO ANTONIO</t>
  </si>
  <si>
    <t>MONZON RICARDO HERNAN</t>
  </si>
  <si>
    <t>MOREIRA CRISTIAN MARCELO</t>
  </si>
  <si>
    <t>MUGA FACUNDO SEBASTIAN</t>
  </si>
  <si>
    <t>MUÑOZ ANALIA NATALIA</t>
  </si>
  <si>
    <t>OJEDA GASTON EZEQUIEL</t>
  </si>
  <si>
    <t>OJEDA PEDRO</t>
  </si>
  <si>
    <t>ORDUÑA IVAN</t>
  </si>
  <si>
    <t>ORTEGA FACUNDO MATIAS</t>
  </si>
  <si>
    <t>ADM.NIVEL  2</t>
  </si>
  <si>
    <t>OVIEDO ALEJANDRO MARTIN</t>
  </si>
  <si>
    <t>OZUNA FEDERICO</t>
  </si>
  <si>
    <t>PAPURELLO SABRINA</t>
  </si>
  <si>
    <t>PASCHETTA MARIELA GUADALUPE</t>
  </si>
  <si>
    <t>PEDRAZA CLAUDIO DANIEL</t>
  </si>
  <si>
    <t>PEREZ CRISTIAN ANDRES</t>
  </si>
  <si>
    <t>PEREZ JOSE LUIS</t>
  </si>
  <si>
    <t>PEREZ MARCELO ADRIAN</t>
  </si>
  <si>
    <t>PESCE HECTOR</t>
  </si>
  <si>
    <t>PINO JONATAN MANUEL</t>
  </si>
  <si>
    <t>PROKOP SUSANA VERONICA</t>
  </si>
  <si>
    <t>ADM.NIVEL  1</t>
  </si>
  <si>
    <t>RAMOS EMANUEL DEL CORAZON</t>
  </si>
  <si>
    <t>RAMOS ENRIQUE ARMANDO</t>
  </si>
  <si>
    <t>RODRIGUEZ MARIO JESUS</t>
  </si>
  <si>
    <t>RODRIGUEZ NICOLAS GERARDO</t>
  </si>
  <si>
    <t>ROJAS IVAN</t>
  </si>
  <si>
    <t>ROSAS JUAN JOSE</t>
  </si>
  <si>
    <t>SALDAÑA MAXIMILIANO</t>
  </si>
  <si>
    <t>SASTRE MARCELO EDUARDO</t>
  </si>
  <si>
    <t>SCHWINDT MARTIN RUBEN</t>
  </si>
  <si>
    <t>SEBASTIANO LEANDRO JOSE</t>
  </si>
  <si>
    <t>OF.ESPECIALIZADO</t>
  </si>
  <si>
    <t>SENA AYRTON</t>
  </si>
  <si>
    <t>SOLARI SANTIAGO</t>
  </si>
  <si>
    <t>SOLIS DANIEL ALEJANDRO</t>
  </si>
  <si>
    <t>SPITTELER WALDEMAR ALEXIS</t>
  </si>
  <si>
    <t>TASSARA ROBERTO MARIO</t>
  </si>
  <si>
    <t>JEFE RRHH</t>
  </si>
  <si>
    <t>TROSERO MATIAS EZEQUIEL</t>
  </si>
  <si>
    <t>VALENTI ANDRES</t>
  </si>
  <si>
    <t>VALENTI GABRIEL</t>
  </si>
  <si>
    <t>VARELA ERNESTO FABIAN</t>
  </si>
  <si>
    <t>VEGA JAVIER MARCELO</t>
  </si>
  <si>
    <t>VEGA OMAR HECTOR</t>
  </si>
  <si>
    <t>VEGA VICTOR EZEQUIEL</t>
  </si>
  <si>
    <t>VERA JIMENEZ LUIS ABEL</t>
  </si>
  <si>
    <t>VIDAL MAXIMILIANO ANDRES</t>
  </si>
  <si>
    <t>VILLALVA LEONEL LEANDRO</t>
  </si>
  <si>
    <t>VILLARRUEL JUAN DELFOR</t>
  </si>
  <si>
    <t>VIVANCO EROS JAVIER</t>
  </si>
  <si>
    <t>ZAPPALA DELIA LUCIA</t>
  </si>
  <si>
    <t>MEDINA ALEXANDRO</t>
  </si>
  <si>
    <t>AROCA LUCAS</t>
  </si>
  <si>
    <t>CLADERA LUCIANO</t>
  </si>
  <si>
    <t>CONTRERAS MARIO</t>
  </si>
  <si>
    <t>MACHUCA FACUNDO</t>
  </si>
  <si>
    <t>27203551938</t>
  </si>
  <si>
    <t>CALDERON MARCELO</t>
  </si>
  <si>
    <t>20-22889353-7</t>
  </si>
  <si>
    <t>CORIA EDGAR EDUARDO</t>
  </si>
  <si>
    <t>20-13752285-4</t>
  </si>
  <si>
    <t>OSUDAR CARLOS</t>
  </si>
  <si>
    <t>20-16728143-6</t>
  </si>
  <si>
    <t>203068992968</t>
  </si>
  <si>
    <t>20343684992</t>
  </si>
  <si>
    <t>20201754292</t>
  </si>
  <si>
    <t>27229556857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</si>
</sst>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\ #,##0.00"/>
    <numFmt numFmtId="165" formatCode="&quot;$&quot;\ #,##0"/>
    <numFmt numFmtId="166" formatCode="dd\-mm\-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4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2" applyFill="1"/>
    <xf numFmtId="0" fontId="1" fillId="2" borderId="0" xfId="2" applyFill="1" applyProtection="1">
      <protection hidden="1"/>
    </xf>
    <xf numFmtId="165" fontId="3" fillId="2" borderId="2" xfId="1" applyNumberFormat="1" applyFont="1" applyFill="1" applyBorder="1"/>
    <xf numFmtId="0" fontId="3" fillId="2" borderId="2" xfId="1" applyFont="1" applyFill="1" applyBorder="1" applyAlignment="1"/>
    <xf numFmtId="164" fontId="3" fillId="2" borderId="2" xfId="1" applyNumberFormat="1" applyFont="1" applyFill="1" applyBorder="1"/>
    <xf numFmtId="166" fontId="3" fillId="2" borderId="2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right"/>
    </xf>
    <xf numFmtId="164" fontId="3" fillId="2" borderId="2" xfId="1" applyNumberFormat="1" applyFont="1" applyFill="1" applyBorder="1" applyProtection="1">
      <protection hidden="1"/>
    </xf>
    <xf numFmtId="49" fontId="3" fillId="2" borderId="1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/>
    </xf>
    <xf numFmtId="49" fontId="3" fillId="2" borderId="2" xfId="1" applyNumberFormat="1" applyFont="1" applyFill="1" applyBorder="1" applyAlignment="1">
      <alignment horizontal="center"/>
    </xf>
    <xf numFmtId="49" fontId="1" fillId="2" borderId="0" xfId="2" applyNumberFormat="1" applyFill="1"/>
  </cellXfs>
  <cellStyles count="3">
    <cellStyle name="Normal" xfId="0" builtinId="0"/>
    <cellStyle name="Normal 2 2 2 2" xfId="1"/>
    <cellStyle name="Normal 26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scarEtchevarne\Planil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-97"/>
      <sheetName val="NOV-97"/>
      <sheetName val="DIC-97 "/>
      <sheetName val="ENE-98"/>
      <sheetName val="FEB-98"/>
      <sheetName val="MAR-98"/>
      <sheetName val="ABR-98"/>
      <sheetName val="MAY-98"/>
      <sheetName val="JUN-98"/>
      <sheetName val="JUL-98"/>
      <sheetName val="AGO-98"/>
      <sheetName val="SEP-98"/>
      <sheetName val="OCT-98 "/>
      <sheetName val="NOV-98  "/>
      <sheetName val="DIC-98 "/>
      <sheetName val="ENE-99"/>
      <sheetName val="FEB-99 "/>
      <sheetName val="MAR-99  "/>
      <sheetName val="ABR-99 "/>
      <sheetName val="MAY-99"/>
      <sheetName val="JUN-99"/>
      <sheetName val="JUL-99"/>
      <sheetName val="AGO-99"/>
      <sheetName val="SEP-99"/>
      <sheetName val="OCT-99"/>
      <sheetName val="NOV-99 "/>
      <sheetName val="DIC-99"/>
      <sheetName val="ENE-00"/>
      <sheetName val="FEB-00"/>
      <sheetName val="MAR-00"/>
      <sheetName val="ABR-00"/>
      <sheetName val="MAY-00"/>
      <sheetName val="JUN-00"/>
      <sheetName val="JUL-00"/>
      <sheetName val="AGO-00"/>
      <sheetName val="SEP-00"/>
      <sheetName val="OCT-00 "/>
      <sheetName val="NOV-00"/>
      <sheetName val="DIC-00"/>
      <sheetName val="ENE-01"/>
      <sheetName val="FEB-01"/>
      <sheetName val="MAR-01"/>
      <sheetName val="ABR-01"/>
      <sheetName val="MAY-01"/>
      <sheetName val="JUN-01"/>
      <sheetName val="JUL-01"/>
      <sheetName val="AGO-01"/>
      <sheetName val="SEPT-01 "/>
      <sheetName val="OCT-01"/>
      <sheetName val="NOV-01"/>
      <sheetName val="DIC-01 "/>
      <sheetName val="ENE-02"/>
      <sheetName val="FEB-02"/>
      <sheetName val="MAR-02"/>
      <sheetName val="ABR-02"/>
      <sheetName val="MAY-02"/>
      <sheetName val="JUN-02"/>
      <sheetName val="JUL-02"/>
      <sheetName val="AGO-02"/>
      <sheetName val="SEP-02 "/>
      <sheetName val="OCT-02 "/>
      <sheetName val="NOV-02"/>
      <sheetName val="DIC-02"/>
      <sheetName val="ENE-03"/>
      <sheetName val="FEB-03"/>
      <sheetName val="MAR-03"/>
      <sheetName val="ABR-03 "/>
      <sheetName val="MAY-03"/>
      <sheetName val="JUN-03"/>
      <sheetName val="JUL-03"/>
      <sheetName val="AGO-03"/>
      <sheetName val="ARQUEO"/>
      <sheetName val="COMOCTUBRE03"/>
      <sheetName val="MATERIA PRIMA 9"/>
      <sheetName val="PRESTAMOS SISTEMA NUEVO"/>
      <sheetName val="MARCE"/>
      <sheetName val="CHEQUES"/>
      <sheetName val="DEPOSITO CHEQUE"/>
      <sheetName val="SOTO BENITO"/>
      <sheetName val="CARABALLO"/>
      <sheetName val="RECIBO"/>
      <sheetName val="VIAJES"/>
      <sheetName val="COSTO TIEMPO"/>
      <sheetName val="CUELLO VTA TEMPRA"/>
      <sheetName val="GUEILER MARIANO"/>
      <sheetName val="PAGO COLDEN"/>
      <sheetName val="ABUT"/>
      <sheetName val="PRESUPUESTO MAYO-02"/>
      <sheetName val="COM VIAJENTES"/>
      <sheetName val="PLANILLA HS EXT"/>
      <sheetName val="HS EXTRAS"/>
      <sheetName val="RECIBO SUELDO"/>
      <sheetName val="MORBI"/>
      <sheetName val="JALIT"/>
      <sheetName val="BG"/>
      <sheetName val="RIVERO FASON"/>
      <sheetName val="RIVERO DEUDA KG"/>
      <sheetName val="YOMAHA"/>
      <sheetName val="RIVERO"/>
      <sheetName val="CONST.OFICINA"/>
      <sheetName val="MEDABIL"/>
      <sheetName val="JORGE GERSTEIN"/>
      <sheetName val="BATERPLAC"/>
      <sheetName val="ALQUILER GALPON"/>
      <sheetName val="ERNESTO NUÑEZ"/>
      <sheetName val="PRESUPUESTO"/>
      <sheetName val="Hoja 1"/>
      <sheetName val="Hoja12"/>
      <sheetName val="CL"/>
      <sheetName val="COMSEPT"/>
      <sheetName val="SEP-03"/>
      <sheetName val="OCT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">
          <cell r="G2">
            <v>7310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39"/>
  <sheetViews>
    <sheetView tabSelected="1" zoomScale="110" zoomScaleNormal="110" workbookViewId="0">
      <pane ySplit="1" topLeftCell="A89" activePane="bottomLeft" state="frozen"/>
      <selection activeCell="B37" sqref="B37"/>
      <selection pane="bottomLeft" activeCell="A100" sqref="A100:XFD100"/>
    </sheetView>
  </sheetViews>
  <sheetFormatPr baseColWidth="10" defaultRowHeight="15" x14ac:dyDescent="0.25"/>
  <cols>
    <col min="1" max="1" width="27" style="7" bestFit="1" customWidth="1"/>
    <col min="2" max="2" width="15.140625" style="18" customWidth="1"/>
    <col min="3" max="3" width="8.85546875" style="7" customWidth="1"/>
    <col min="4" max="4" width="12.42578125" style="7" customWidth="1"/>
    <col min="5" max="5" width="7.42578125" style="7" customWidth="1"/>
    <col min="6" max="6" width="12.140625" style="7" customWidth="1"/>
    <col min="7" max="7" width="10.28515625" style="7" customWidth="1"/>
    <col min="8" max="8" width="10.85546875" style="8" customWidth="1"/>
    <col min="9" max="9" width="12.140625" style="7" customWidth="1"/>
    <col min="10" max="10" width="11.5703125" style="7" customWidth="1"/>
    <col min="11" max="11" width="14" style="7" bestFit="1" customWidth="1"/>
    <col min="12" max="12" width="13.5703125" style="7" bestFit="1" customWidth="1"/>
    <col min="13" max="13" width="14" style="7" bestFit="1" customWidth="1"/>
    <col min="14" max="14" width="18.7109375" style="7" customWidth="1"/>
    <col min="15" max="16384" width="11.42578125" style="7"/>
  </cols>
  <sheetData>
    <row r="1" spans="1:10" ht="33.75" x14ac:dyDescent="0.25">
      <c r="A1" s="1" t="s">
        <v>0</v>
      </c>
      <c r="B1" s="15" t="s">
        <v>1</v>
      </c>
      <c r="C1" s="2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8</v>
      </c>
    </row>
    <row r="2" spans="1:10" x14ac:dyDescent="0.25">
      <c r="A2" s="9" t="s">
        <v>17</v>
      </c>
      <c r="B2" s="16" t="s">
        <v>12</v>
      </c>
      <c r="C2" s="10" t="s">
        <v>10</v>
      </c>
      <c r="D2" s="10" t="s">
        <v>13</v>
      </c>
      <c r="E2" s="12">
        <v>45139</v>
      </c>
      <c r="F2" s="13">
        <v>0</v>
      </c>
      <c r="G2" s="11"/>
      <c r="H2" s="11"/>
      <c r="I2" s="11"/>
      <c r="J2" s="11"/>
    </row>
    <row r="3" spans="1:10" x14ac:dyDescent="0.25">
      <c r="A3" s="9" t="s">
        <v>169</v>
      </c>
      <c r="B3" s="16" t="s">
        <v>12</v>
      </c>
      <c r="C3" s="10" t="s">
        <v>10</v>
      </c>
      <c r="D3" s="10" t="s">
        <v>13</v>
      </c>
      <c r="E3" s="12">
        <v>45139</v>
      </c>
      <c r="F3" s="13">
        <v>0</v>
      </c>
      <c r="G3" s="11"/>
      <c r="H3" s="11"/>
      <c r="I3" s="11"/>
      <c r="J3" s="11"/>
    </row>
    <row r="4" spans="1:10" x14ac:dyDescent="0.25">
      <c r="A4" s="9" t="s">
        <v>37</v>
      </c>
      <c r="B4" s="16" t="s">
        <v>12</v>
      </c>
      <c r="C4" s="10" t="s">
        <v>10</v>
      </c>
      <c r="D4" s="10" t="s">
        <v>13</v>
      </c>
      <c r="E4" s="12">
        <v>45139</v>
      </c>
      <c r="F4" s="13">
        <v>0</v>
      </c>
      <c r="G4" s="11"/>
      <c r="H4" s="11"/>
      <c r="I4" s="11"/>
      <c r="J4" s="11"/>
    </row>
    <row r="5" spans="1:10" x14ac:dyDescent="0.25">
      <c r="A5" s="9" t="s">
        <v>170</v>
      </c>
      <c r="B5" s="16" t="s">
        <v>12</v>
      </c>
      <c r="C5" s="10" t="s">
        <v>10</v>
      </c>
      <c r="D5" s="10" t="s">
        <v>13</v>
      </c>
      <c r="E5" s="12">
        <v>45139</v>
      </c>
      <c r="F5" s="13">
        <v>0</v>
      </c>
      <c r="G5" s="11"/>
      <c r="H5" s="11"/>
      <c r="I5" s="11"/>
      <c r="J5" s="11"/>
    </row>
    <row r="6" spans="1:10" x14ac:dyDescent="0.25">
      <c r="A6" s="9" t="s">
        <v>171</v>
      </c>
      <c r="B6" s="16" t="s">
        <v>12</v>
      </c>
      <c r="C6" s="10" t="s">
        <v>10</v>
      </c>
      <c r="D6" s="10" t="s">
        <v>13</v>
      </c>
      <c r="E6" s="12">
        <v>45139</v>
      </c>
      <c r="F6" s="13">
        <v>0</v>
      </c>
      <c r="G6" s="11"/>
      <c r="H6" s="11"/>
      <c r="I6" s="11"/>
      <c r="J6" s="11"/>
    </row>
    <row r="7" spans="1:10" x14ac:dyDescent="0.25">
      <c r="A7" s="9" t="s">
        <v>172</v>
      </c>
      <c r="B7" s="16" t="s">
        <v>12</v>
      </c>
      <c r="C7" s="10" t="s">
        <v>10</v>
      </c>
      <c r="D7" s="10" t="s">
        <v>13</v>
      </c>
      <c r="E7" s="12">
        <v>45139</v>
      </c>
      <c r="F7" s="13">
        <v>0</v>
      </c>
      <c r="G7" s="11"/>
      <c r="H7" s="11"/>
      <c r="I7" s="11"/>
      <c r="J7" s="11"/>
    </row>
    <row r="8" spans="1:10" x14ac:dyDescent="0.25">
      <c r="A8" s="9" t="s">
        <v>168</v>
      </c>
      <c r="B8" s="16" t="s">
        <v>12</v>
      </c>
      <c r="C8" s="10" t="s">
        <v>10</v>
      </c>
      <c r="D8" s="10" t="s">
        <v>13</v>
      </c>
      <c r="E8" s="12">
        <v>45139</v>
      </c>
      <c r="F8" s="13">
        <v>0</v>
      </c>
      <c r="G8" s="11"/>
      <c r="H8" s="11"/>
      <c r="I8" s="11"/>
      <c r="J8" s="11"/>
    </row>
    <row r="9" spans="1:10" x14ac:dyDescent="0.25">
      <c r="A9" s="9" t="s">
        <v>123</v>
      </c>
      <c r="B9" s="16" t="s">
        <v>12</v>
      </c>
      <c r="C9" s="10" t="s">
        <v>10</v>
      </c>
      <c r="D9" s="10" t="s">
        <v>13</v>
      </c>
      <c r="E9" s="12">
        <v>45139</v>
      </c>
      <c r="F9" s="13">
        <v>0</v>
      </c>
      <c r="G9" s="11"/>
      <c r="H9" s="11"/>
      <c r="I9" s="11"/>
      <c r="J9" s="11"/>
    </row>
    <row r="10" spans="1:10" x14ac:dyDescent="0.25">
      <c r="A10" s="9" t="s">
        <v>149</v>
      </c>
      <c r="B10" s="16" t="s">
        <v>12</v>
      </c>
      <c r="C10" s="10" t="s">
        <v>10</v>
      </c>
      <c r="D10" s="10" t="s">
        <v>13</v>
      </c>
      <c r="E10" s="12">
        <v>45139</v>
      </c>
      <c r="F10" s="13">
        <v>0</v>
      </c>
      <c r="G10" s="11"/>
      <c r="H10" s="11"/>
      <c r="I10" s="11"/>
      <c r="J10" s="11"/>
    </row>
    <row r="11" spans="1:10" x14ac:dyDescent="0.25">
      <c r="A11" s="9" t="s">
        <v>9</v>
      </c>
      <c r="B11" s="17">
        <v>20338056134</v>
      </c>
      <c r="C11" s="10" t="s">
        <v>10</v>
      </c>
      <c r="D11" s="10" t="s">
        <v>11</v>
      </c>
      <c r="E11" s="12">
        <v>41144</v>
      </c>
      <c r="F11" s="13">
        <v>437244.27367159701</v>
      </c>
      <c r="G11" s="13"/>
      <c r="H11" s="14"/>
      <c r="I11" s="11"/>
      <c r="J11" s="11"/>
    </row>
    <row r="12" spans="1:10" x14ac:dyDescent="0.25">
      <c r="A12" s="9" t="s">
        <v>14</v>
      </c>
      <c r="B12" s="17">
        <v>20256042623</v>
      </c>
      <c r="C12" s="10" t="s">
        <v>10</v>
      </c>
      <c r="D12" s="10" t="s">
        <v>15</v>
      </c>
      <c r="E12" s="12">
        <v>37053</v>
      </c>
      <c r="F12" s="13">
        <v>487396.54337682814</v>
      </c>
      <c r="G12" s="13">
        <v>89101</v>
      </c>
      <c r="H12" s="14"/>
      <c r="I12" s="11"/>
      <c r="J12" s="11"/>
    </row>
    <row r="13" spans="1:10" x14ac:dyDescent="0.25">
      <c r="A13" s="9" t="s">
        <v>18</v>
      </c>
      <c r="B13" s="17">
        <v>20341661138</v>
      </c>
      <c r="C13" s="10" t="s">
        <v>19</v>
      </c>
      <c r="D13" s="10" t="s">
        <v>20</v>
      </c>
      <c r="E13" s="12">
        <v>44075</v>
      </c>
      <c r="F13" s="13">
        <v>0</v>
      </c>
      <c r="G13" s="13"/>
      <c r="H13" s="14"/>
      <c r="I13" s="11"/>
      <c r="J13" s="11"/>
    </row>
    <row r="14" spans="1:10" x14ac:dyDescent="0.25">
      <c r="A14" s="9" t="s">
        <v>21</v>
      </c>
      <c r="B14" s="17">
        <v>20447321506</v>
      </c>
      <c r="C14" s="10" t="s">
        <v>10</v>
      </c>
      <c r="D14" s="10" t="s">
        <v>13</v>
      </c>
      <c r="E14" s="12">
        <v>45078</v>
      </c>
      <c r="F14" s="13">
        <v>0</v>
      </c>
      <c r="G14" s="13"/>
      <c r="H14" s="14"/>
      <c r="I14" s="11"/>
      <c r="J14" s="11"/>
    </row>
    <row r="15" spans="1:10" x14ac:dyDescent="0.25">
      <c r="A15" s="9" t="s">
        <v>22</v>
      </c>
      <c r="B15" s="17">
        <v>20320968748</v>
      </c>
      <c r="C15" s="10" t="s">
        <v>10</v>
      </c>
      <c r="D15" s="10" t="s">
        <v>20</v>
      </c>
      <c r="E15" s="12">
        <v>42506</v>
      </c>
      <c r="F15" s="13">
        <v>0</v>
      </c>
      <c r="G15" s="13"/>
      <c r="H15" s="14"/>
      <c r="I15" s="11"/>
      <c r="J15" s="11"/>
    </row>
    <row r="16" spans="1:10" x14ac:dyDescent="0.25">
      <c r="A16" s="9" t="s">
        <v>23</v>
      </c>
      <c r="B16" s="17">
        <v>23263556569</v>
      </c>
      <c r="C16" s="10" t="s">
        <v>24</v>
      </c>
      <c r="D16" s="10" t="s">
        <v>25</v>
      </c>
      <c r="E16" s="12">
        <v>41456</v>
      </c>
      <c r="F16" s="13">
        <v>0</v>
      </c>
      <c r="G16" s="13"/>
      <c r="H16" s="14"/>
      <c r="I16" s="11"/>
      <c r="J16" s="11"/>
    </row>
    <row r="17" spans="1:10" x14ac:dyDescent="0.25">
      <c r="A17" s="9" t="s">
        <v>26</v>
      </c>
      <c r="B17" s="17">
        <v>20266450762</v>
      </c>
      <c r="C17" s="10" t="s">
        <v>10</v>
      </c>
      <c r="D17" s="10" t="s">
        <v>27</v>
      </c>
      <c r="E17" s="12">
        <v>37354</v>
      </c>
      <c r="F17" s="13">
        <v>0</v>
      </c>
      <c r="G17" s="13"/>
      <c r="H17" s="14">
        <v>-254870.44</v>
      </c>
      <c r="I17" s="11">
        <v>-212128</v>
      </c>
      <c r="J17" s="11"/>
    </row>
    <row r="18" spans="1:10" x14ac:dyDescent="0.25">
      <c r="A18" s="9" t="s">
        <v>174</v>
      </c>
      <c r="B18" s="17" t="s">
        <v>175</v>
      </c>
      <c r="C18" s="10" t="s">
        <v>19</v>
      </c>
      <c r="D18" s="10" t="s">
        <v>148</v>
      </c>
      <c r="E18" s="12">
        <v>39142</v>
      </c>
      <c r="F18" s="13">
        <v>0</v>
      </c>
      <c r="G18" s="13"/>
      <c r="H18" s="14"/>
      <c r="I18" s="11"/>
      <c r="J18" s="11"/>
    </row>
    <row r="19" spans="1:10" x14ac:dyDescent="0.25">
      <c r="A19" s="9" t="s">
        <v>28</v>
      </c>
      <c r="B19" s="17">
        <v>20447320933</v>
      </c>
      <c r="C19" s="10" t="s">
        <v>10</v>
      </c>
      <c r="D19" s="10" t="s">
        <v>13</v>
      </c>
      <c r="E19" s="12">
        <v>45566</v>
      </c>
      <c r="F19" s="13">
        <v>0</v>
      </c>
      <c r="G19" s="13"/>
      <c r="H19" s="14"/>
      <c r="I19" s="11"/>
      <c r="J19" s="11"/>
    </row>
    <row r="20" spans="1:10" x14ac:dyDescent="0.25">
      <c r="A20" s="9" t="s">
        <v>29</v>
      </c>
      <c r="B20" s="17">
        <v>20319706918</v>
      </c>
      <c r="C20" s="10" t="s">
        <v>10</v>
      </c>
      <c r="D20" s="10" t="s">
        <v>13</v>
      </c>
      <c r="E20" s="12">
        <v>45505</v>
      </c>
      <c r="F20" s="13">
        <v>0</v>
      </c>
      <c r="G20" s="11"/>
      <c r="H20" s="14"/>
      <c r="I20" s="11"/>
      <c r="J20" s="11"/>
    </row>
    <row r="21" spans="1:10" x14ac:dyDescent="0.25">
      <c r="A21" s="9" t="s">
        <v>30</v>
      </c>
      <c r="B21" s="17">
        <v>20294873350</v>
      </c>
      <c r="C21" s="10" t="s">
        <v>24</v>
      </c>
      <c r="D21" s="10" t="s">
        <v>31</v>
      </c>
      <c r="E21" s="12">
        <v>38307</v>
      </c>
      <c r="F21" s="13">
        <v>0</v>
      </c>
      <c r="G21" s="13"/>
      <c r="H21" s="14"/>
      <c r="I21" s="11"/>
      <c r="J21" s="11"/>
    </row>
    <row r="22" spans="1:10" x14ac:dyDescent="0.25">
      <c r="A22" s="9" t="s">
        <v>32</v>
      </c>
      <c r="B22" s="17">
        <v>20304849828</v>
      </c>
      <c r="C22" s="10" t="s">
        <v>10</v>
      </c>
      <c r="D22" s="10" t="s">
        <v>20</v>
      </c>
      <c r="E22" s="12">
        <v>40771</v>
      </c>
      <c r="F22" s="13">
        <v>0</v>
      </c>
      <c r="G22" s="13"/>
      <c r="H22" s="14"/>
      <c r="I22" s="11"/>
      <c r="J22" s="11"/>
    </row>
    <row r="23" spans="1:10" x14ac:dyDescent="0.25">
      <c r="A23" s="9" t="s">
        <v>33</v>
      </c>
      <c r="B23" s="17">
        <v>20293487821</v>
      </c>
      <c r="C23" s="10" t="s">
        <v>10</v>
      </c>
      <c r="D23" s="10" t="s">
        <v>15</v>
      </c>
      <c r="E23" s="12">
        <v>38628</v>
      </c>
      <c r="F23" s="13">
        <v>392129.69362030952</v>
      </c>
      <c r="G23" s="13">
        <v>70629</v>
      </c>
      <c r="H23" s="14"/>
      <c r="I23" s="11"/>
      <c r="J23" s="11"/>
    </row>
    <row r="24" spans="1:10" x14ac:dyDescent="0.25">
      <c r="A24" s="9" t="s">
        <v>34</v>
      </c>
      <c r="B24" s="17">
        <v>20208538528</v>
      </c>
      <c r="C24" s="10" t="s">
        <v>35</v>
      </c>
      <c r="D24" s="10" t="s">
        <v>36</v>
      </c>
      <c r="E24" s="12">
        <v>34562</v>
      </c>
      <c r="F24" s="13">
        <v>250199.52880161669</v>
      </c>
      <c r="G24" s="13"/>
      <c r="H24" s="14"/>
      <c r="I24" s="11"/>
      <c r="J24" s="11"/>
    </row>
    <row r="25" spans="1:10" x14ac:dyDescent="0.25">
      <c r="A25" s="9" t="s">
        <v>38</v>
      </c>
      <c r="B25" s="17">
        <v>23284205839</v>
      </c>
      <c r="C25" s="10" t="s">
        <v>10</v>
      </c>
      <c r="D25" s="10" t="s">
        <v>45</v>
      </c>
      <c r="E25" s="12">
        <v>39482</v>
      </c>
      <c r="F25" s="13">
        <v>562325.40975964919</v>
      </c>
      <c r="G25" s="13"/>
      <c r="H25" s="14"/>
      <c r="I25" s="11"/>
      <c r="J25" s="11"/>
    </row>
    <row r="26" spans="1:10" x14ac:dyDescent="0.25">
      <c r="A26" s="9" t="s">
        <v>39</v>
      </c>
      <c r="B26" s="17">
        <v>20323007978</v>
      </c>
      <c r="C26" s="10" t="s">
        <v>10</v>
      </c>
      <c r="D26" s="10" t="s">
        <v>11</v>
      </c>
      <c r="E26" s="12">
        <v>40148</v>
      </c>
      <c r="F26" s="13">
        <v>240398.66840000002</v>
      </c>
      <c r="G26" s="13"/>
      <c r="H26" s="14"/>
      <c r="I26" s="11"/>
      <c r="J26" s="11"/>
    </row>
    <row r="27" spans="1:10" x14ac:dyDescent="0.25">
      <c r="A27" s="9" t="s">
        <v>40</v>
      </c>
      <c r="B27" s="17">
        <v>20173159251</v>
      </c>
      <c r="C27" s="10" t="s">
        <v>19</v>
      </c>
      <c r="D27" s="10" t="s">
        <v>41</v>
      </c>
      <c r="E27" s="12">
        <v>40878</v>
      </c>
      <c r="F27" s="13">
        <v>0</v>
      </c>
      <c r="G27" s="13"/>
      <c r="H27" s="14"/>
      <c r="I27" s="11"/>
      <c r="J27" s="11"/>
    </row>
    <row r="28" spans="1:10" x14ac:dyDescent="0.25">
      <c r="A28" s="9" t="s">
        <v>42</v>
      </c>
      <c r="B28" s="17">
        <v>20240717019</v>
      </c>
      <c r="C28" s="10" t="s">
        <v>10</v>
      </c>
      <c r="D28" s="10" t="s">
        <v>15</v>
      </c>
      <c r="E28" s="12">
        <v>37697</v>
      </c>
      <c r="F28" s="13">
        <v>297781.65277142794</v>
      </c>
      <c r="G28" s="13">
        <v>55000</v>
      </c>
      <c r="H28" s="14"/>
      <c r="I28" s="11"/>
      <c r="J28" s="11"/>
    </row>
    <row r="29" spans="1:10" x14ac:dyDescent="0.25">
      <c r="A29" s="9" t="s">
        <v>43</v>
      </c>
      <c r="B29" s="17">
        <v>20403151654</v>
      </c>
      <c r="C29" s="10" t="s">
        <v>10</v>
      </c>
      <c r="D29" s="10" t="s">
        <v>16</v>
      </c>
      <c r="E29" s="12">
        <v>44837</v>
      </c>
      <c r="F29" s="13">
        <v>0</v>
      </c>
      <c r="G29" s="13"/>
      <c r="H29" s="14"/>
      <c r="I29" s="11"/>
      <c r="J29" s="11"/>
    </row>
    <row r="30" spans="1:10" x14ac:dyDescent="0.25">
      <c r="A30" s="9" t="s">
        <v>44</v>
      </c>
      <c r="B30" s="17" t="s">
        <v>180</v>
      </c>
      <c r="C30" s="10" t="s">
        <v>19</v>
      </c>
      <c r="D30" s="10" t="s">
        <v>45</v>
      </c>
      <c r="E30" s="12">
        <v>41015</v>
      </c>
      <c r="F30" s="13">
        <v>0</v>
      </c>
      <c r="G30" s="13"/>
      <c r="H30" s="14"/>
      <c r="I30" s="11"/>
      <c r="J30" s="11"/>
    </row>
    <row r="31" spans="1:10" x14ac:dyDescent="0.25">
      <c r="A31" s="9" t="s">
        <v>46</v>
      </c>
      <c r="B31" s="17">
        <v>20306458826</v>
      </c>
      <c r="C31" s="10" t="s">
        <v>10</v>
      </c>
      <c r="D31" s="10" t="s">
        <v>11</v>
      </c>
      <c r="E31" s="12">
        <v>40269</v>
      </c>
      <c r="F31" s="13">
        <v>0</v>
      </c>
      <c r="G31" s="13"/>
      <c r="H31" s="14"/>
      <c r="I31" s="11"/>
      <c r="J31" s="11"/>
    </row>
    <row r="32" spans="1:10" x14ac:dyDescent="0.25">
      <c r="A32" s="9" t="s">
        <v>47</v>
      </c>
      <c r="B32" s="17" t="s">
        <v>181</v>
      </c>
      <c r="C32" s="10" t="s">
        <v>10</v>
      </c>
      <c r="D32" s="10" t="s">
        <v>11</v>
      </c>
      <c r="E32" s="12">
        <v>41198</v>
      </c>
      <c r="F32" s="13">
        <v>100572.28010892231</v>
      </c>
      <c r="G32" s="13"/>
      <c r="H32" s="14"/>
      <c r="I32" s="11"/>
      <c r="J32" s="11"/>
    </row>
    <row r="33" spans="1:10" x14ac:dyDescent="0.25">
      <c r="A33" s="9" t="s">
        <v>48</v>
      </c>
      <c r="B33" s="17">
        <v>20235019931</v>
      </c>
      <c r="C33" s="10" t="s">
        <v>10</v>
      </c>
      <c r="D33" s="10" t="s">
        <v>11</v>
      </c>
      <c r="E33" s="12">
        <v>40878</v>
      </c>
      <c r="F33" s="13">
        <v>0</v>
      </c>
      <c r="G33" s="13"/>
      <c r="H33" s="14"/>
      <c r="I33" s="11"/>
      <c r="J33" s="11"/>
    </row>
    <row r="34" spans="1:10" x14ac:dyDescent="0.25">
      <c r="A34" s="9" t="s">
        <v>49</v>
      </c>
      <c r="B34" s="17">
        <v>20201756325</v>
      </c>
      <c r="C34" s="10" t="s">
        <v>19</v>
      </c>
      <c r="D34" s="10" t="s">
        <v>20</v>
      </c>
      <c r="E34" s="12">
        <v>34974</v>
      </c>
      <c r="F34" s="13">
        <v>131126.54640000002</v>
      </c>
      <c r="G34" s="13"/>
      <c r="H34" s="14"/>
      <c r="I34" s="11"/>
      <c r="J34" s="11"/>
    </row>
    <row r="35" spans="1:10" x14ac:dyDescent="0.25">
      <c r="A35" s="9" t="s">
        <v>50</v>
      </c>
      <c r="B35" s="17">
        <v>20257298826</v>
      </c>
      <c r="C35" s="10" t="s">
        <v>10</v>
      </c>
      <c r="D35" s="10" t="s">
        <v>20</v>
      </c>
      <c r="E35" s="12">
        <v>40630</v>
      </c>
      <c r="F35" s="13">
        <v>109272.12200000002</v>
      </c>
      <c r="G35" s="13"/>
      <c r="H35" s="14"/>
      <c r="I35" s="11"/>
      <c r="J35" s="11"/>
    </row>
    <row r="36" spans="1:10" x14ac:dyDescent="0.25">
      <c r="A36" s="9" t="s">
        <v>51</v>
      </c>
      <c r="B36" s="17">
        <v>20345865323</v>
      </c>
      <c r="C36" s="10" t="s">
        <v>10</v>
      </c>
      <c r="D36" s="10" t="s">
        <v>15</v>
      </c>
      <c r="E36" s="12">
        <v>41426</v>
      </c>
      <c r="F36" s="13">
        <v>405123.00908292155</v>
      </c>
      <c r="G36" s="13">
        <v>48897</v>
      </c>
      <c r="H36" s="14"/>
      <c r="I36" s="11"/>
      <c r="J36" s="11"/>
    </row>
    <row r="37" spans="1:10" x14ac:dyDescent="0.25">
      <c r="A37" s="9" t="s">
        <v>176</v>
      </c>
      <c r="B37" s="17" t="s">
        <v>177</v>
      </c>
      <c r="C37" s="10" t="s">
        <v>10</v>
      </c>
      <c r="D37" s="10" t="s">
        <v>11</v>
      </c>
      <c r="E37" s="12">
        <v>27007</v>
      </c>
      <c r="F37" s="13">
        <v>0</v>
      </c>
      <c r="G37" s="13"/>
      <c r="H37" s="14"/>
      <c r="I37" s="11"/>
      <c r="J37" s="11"/>
    </row>
    <row r="38" spans="1:10" x14ac:dyDescent="0.25">
      <c r="A38" s="9" t="s">
        <v>52</v>
      </c>
      <c r="B38" s="17">
        <v>20403666670</v>
      </c>
      <c r="C38" s="10" t="s">
        <v>10</v>
      </c>
      <c r="D38" s="10" t="s">
        <v>20</v>
      </c>
      <c r="E38" s="12">
        <v>43252</v>
      </c>
      <c r="F38" s="13">
        <v>0</v>
      </c>
      <c r="G38" s="13"/>
      <c r="H38" s="14"/>
      <c r="I38" s="11"/>
      <c r="J38" s="11"/>
    </row>
    <row r="39" spans="1:10" x14ac:dyDescent="0.25">
      <c r="A39" s="9" t="s">
        <v>53</v>
      </c>
      <c r="B39" s="17">
        <v>23266042469</v>
      </c>
      <c r="C39" s="10" t="s">
        <v>10</v>
      </c>
      <c r="D39" s="10" t="s">
        <v>20</v>
      </c>
      <c r="E39" s="12">
        <v>38628</v>
      </c>
      <c r="F39" s="13">
        <v>0</v>
      </c>
      <c r="G39" s="13"/>
      <c r="H39" s="14"/>
      <c r="I39" s="11"/>
      <c r="J39" s="11"/>
    </row>
    <row r="40" spans="1:10" x14ac:dyDescent="0.25">
      <c r="A40" s="9" t="s">
        <v>54</v>
      </c>
      <c r="B40" s="17">
        <v>20268354876</v>
      </c>
      <c r="C40" s="10" t="s">
        <v>24</v>
      </c>
      <c r="D40" s="10" t="s">
        <v>15</v>
      </c>
      <c r="E40" s="12">
        <v>39142</v>
      </c>
      <c r="F40" s="13">
        <v>1121688.433567429</v>
      </c>
      <c r="G40" s="13">
        <v>159730</v>
      </c>
      <c r="H40" s="14"/>
      <c r="I40" s="11"/>
      <c r="J40" s="11"/>
    </row>
    <row r="41" spans="1:10" x14ac:dyDescent="0.25">
      <c r="A41" s="9" t="s">
        <v>55</v>
      </c>
      <c r="B41" s="17">
        <v>20416375128</v>
      </c>
      <c r="C41" s="10" t="s">
        <v>19</v>
      </c>
      <c r="D41" s="10" t="s">
        <v>41</v>
      </c>
      <c r="E41" s="12">
        <v>45566</v>
      </c>
      <c r="F41" s="13">
        <v>0</v>
      </c>
      <c r="G41" s="13"/>
      <c r="H41" s="14"/>
      <c r="I41" s="11"/>
      <c r="J41" s="11"/>
    </row>
    <row r="42" spans="1:10" x14ac:dyDescent="0.25">
      <c r="A42" s="9" t="s">
        <v>56</v>
      </c>
      <c r="B42" s="17">
        <v>20344833266</v>
      </c>
      <c r="C42" s="10" t="s">
        <v>10</v>
      </c>
      <c r="D42" s="10" t="s">
        <v>20</v>
      </c>
      <c r="E42" s="12">
        <v>41430</v>
      </c>
      <c r="F42" s="13">
        <v>0</v>
      </c>
      <c r="G42" s="13"/>
      <c r="H42" s="14"/>
      <c r="I42" s="11"/>
      <c r="J42" s="11"/>
    </row>
    <row r="43" spans="1:10" x14ac:dyDescent="0.25">
      <c r="A43" s="9" t="s">
        <v>57</v>
      </c>
      <c r="B43" s="17">
        <v>20340878303</v>
      </c>
      <c r="C43" s="10" t="s">
        <v>10</v>
      </c>
      <c r="D43" s="10" t="s">
        <v>16</v>
      </c>
      <c r="E43" s="12">
        <v>44683</v>
      </c>
      <c r="F43" s="13">
        <v>0</v>
      </c>
      <c r="G43" s="13"/>
      <c r="H43" s="14"/>
      <c r="I43" s="11"/>
      <c r="J43" s="11"/>
    </row>
    <row r="44" spans="1:10" x14ac:dyDescent="0.25">
      <c r="A44" s="9" t="s">
        <v>58</v>
      </c>
      <c r="B44" s="17">
        <v>20135441156</v>
      </c>
      <c r="C44" s="10" t="s">
        <v>35</v>
      </c>
      <c r="D44" s="10" t="s">
        <v>27</v>
      </c>
      <c r="E44" s="12">
        <v>30621</v>
      </c>
      <c r="F44" s="13">
        <v>0</v>
      </c>
      <c r="G44" s="13"/>
      <c r="H44" s="14"/>
      <c r="I44" s="11"/>
      <c r="J44" s="11"/>
    </row>
    <row r="45" spans="1:10" x14ac:dyDescent="0.25">
      <c r="A45" s="9" t="s">
        <v>59</v>
      </c>
      <c r="B45" s="17">
        <v>20290465096</v>
      </c>
      <c r="C45" s="10" t="s">
        <v>10</v>
      </c>
      <c r="D45" s="10" t="s">
        <v>60</v>
      </c>
      <c r="E45" s="12">
        <v>37798</v>
      </c>
      <c r="F45" s="13">
        <v>1844099.3898664215</v>
      </c>
      <c r="G45" s="13">
        <v>197761</v>
      </c>
      <c r="H45" s="14"/>
      <c r="I45" s="11"/>
      <c r="J45" s="11"/>
    </row>
    <row r="46" spans="1:10" x14ac:dyDescent="0.25">
      <c r="A46" s="9" t="s">
        <v>61</v>
      </c>
      <c r="B46" s="17">
        <v>20340031610</v>
      </c>
      <c r="C46" s="10" t="s">
        <v>19</v>
      </c>
      <c r="D46" s="10" t="s">
        <v>41</v>
      </c>
      <c r="E46" s="12">
        <v>44531</v>
      </c>
      <c r="F46" s="13">
        <v>0</v>
      </c>
      <c r="G46" s="13"/>
      <c r="H46" s="14"/>
      <c r="I46" s="11"/>
      <c r="J46" s="11"/>
    </row>
    <row r="47" spans="1:10" x14ac:dyDescent="0.25">
      <c r="A47" s="9" t="s">
        <v>62</v>
      </c>
      <c r="B47" s="17">
        <v>27054360660</v>
      </c>
      <c r="C47" s="10" t="s">
        <v>63</v>
      </c>
      <c r="D47" s="10" t="s">
        <v>27</v>
      </c>
      <c r="E47" s="12">
        <v>37354</v>
      </c>
      <c r="F47" s="13">
        <v>0</v>
      </c>
      <c r="G47" s="13"/>
      <c r="H47" s="14">
        <v>-88765.56</v>
      </c>
      <c r="I47" s="11">
        <v>-36250</v>
      </c>
      <c r="J47" s="11">
        <v>-42500</v>
      </c>
    </row>
    <row r="48" spans="1:10" x14ac:dyDescent="0.25">
      <c r="A48" s="9" t="s">
        <v>64</v>
      </c>
      <c r="B48" s="17" t="s">
        <v>173</v>
      </c>
      <c r="C48" s="10" t="s">
        <v>35</v>
      </c>
      <c r="D48" s="10"/>
      <c r="E48" s="12">
        <v>37810</v>
      </c>
      <c r="F48" s="13">
        <v>0</v>
      </c>
      <c r="G48" s="13"/>
      <c r="H48" s="14">
        <v>-79757.509999999995</v>
      </c>
      <c r="I48" s="11"/>
      <c r="J48" s="11">
        <v>42500</v>
      </c>
    </row>
    <row r="49" spans="1:10" x14ac:dyDescent="0.25">
      <c r="A49" s="9" t="s">
        <v>66</v>
      </c>
      <c r="B49" s="17">
        <v>20337308938</v>
      </c>
      <c r="C49" s="10" t="s">
        <v>10</v>
      </c>
      <c r="D49" s="10" t="s">
        <v>20</v>
      </c>
      <c r="E49" s="12">
        <v>43222</v>
      </c>
      <c r="F49" s="13">
        <v>0</v>
      </c>
      <c r="G49" s="13"/>
      <c r="H49" s="14"/>
      <c r="I49" s="11"/>
      <c r="J49" s="11"/>
    </row>
    <row r="50" spans="1:10" x14ac:dyDescent="0.25">
      <c r="A50" s="9" t="s">
        <v>67</v>
      </c>
      <c r="B50" s="17">
        <v>20433805144</v>
      </c>
      <c r="C50" s="10" t="s">
        <v>10</v>
      </c>
      <c r="D50" s="10" t="s">
        <v>20</v>
      </c>
      <c r="E50" s="12">
        <v>44531</v>
      </c>
      <c r="F50" s="13">
        <v>0</v>
      </c>
      <c r="G50" s="13"/>
      <c r="H50" s="14"/>
      <c r="I50" s="11"/>
      <c r="J50" s="11"/>
    </row>
    <row r="51" spans="1:10" x14ac:dyDescent="0.25">
      <c r="A51" s="9" t="s">
        <v>68</v>
      </c>
      <c r="B51" s="17">
        <v>20421818003</v>
      </c>
      <c r="C51" s="10" t="s">
        <v>10</v>
      </c>
      <c r="D51" s="10" t="s">
        <v>16</v>
      </c>
      <c r="E51" s="12">
        <v>44683</v>
      </c>
      <c r="F51" s="13">
        <v>0</v>
      </c>
      <c r="G51" s="13"/>
      <c r="H51" s="14"/>
      <c r="I51" s="11"/>
      <c r="J51" s="11"/>
    </row>
    <row r="52" spans="1:10" x14ac:dyDescent="0.25">
      <c r="A52" s="9" t="s">
        <v>69</v>
      </c>
      <c r="B52" s="17">
        <v>23366813349</v>
      </c>
      <c r="C52" s="10" t="s">
        <v>10</v>
      </c>
      <c r="D52" s="10" t="s">
        <v>13</v>
      </c>
      <c r="E52" s="12">
        <v>45566</v>
      </c>
      <c r="F52" s="13">
        <v>0</v>
      </c>
      <c r="G52" s="13"/>
      <c r="H52" s="14"/>
      <c r="I52" s="11"/>
      <c r="J52" s="11"/>
    </row>
    <row r="53" spans="1:10" x14ac:dyDescent="0.25">
      <c r="A53" s="9" t="s">
        <v>70</v>
      </c>
      <c r="B53" s="17">
        <v>30377147066</v>
      </c>
      <c r="C53" s="10" t="s">
        <v>10</v>
      </c>
      <c r="D53" s="10" t="s">
        <v>16</v>
      </c>
      <c r="E53" s="12">
        <v>45446</v>
      </c>
      <c r="F53" s="13">
        <v>0</v>
      </c>
      <c r="G53" s="13"/>
      <c r="H53" s="14"/>
      <c r="I53" s="11"/>
      <c r="J53" s="11"/>
    </row>
    <row r="54" spans="1:10" x14ac:dyDescent="0.25">
      <c r="A54" s="9" t="s">
        <v>71</v>
      </c>
      <c r="B54" s="17">
        <v>23143926869</v>
      </c>
      <c r="C54" s="10" t="s">
        <v>72</v>
      </c>
      <c r="D54" s="10" t="s">
        <v>73</v>
      </c>
      <c r="E54" s="12">
        <v>33483</v>
      </c>
      <c r="F54" s="13">
        <v>171895.32462282496</v>
      </c>
      <c r="G54" s="13"/>
      <c r="H54" s="14"/>
      <c r="I54" s="11"/>
      <c r="J54" s="11"/>
    </row>
    <row r="55" spans="1:10" x14ac:dyDescent="0.25">
      <c r="A55" s="9" t="s">
        <v>74</v>
      </c>
      <c r="B55" s="17">
        <v>20180437208</v>
      </c>
      <c r="C55" s="10" t="s">
        <v>24</v>
      </c>
      <c r="D55" s="10" t="s">
        <v>15</v>
      </c>
      <c r="E55" s="12">
        <v>34366</v>
      </c>
      <c r="F55" s="13">
        <v>0</v>
      </c>
      <c r="G55" s="13"/>
      <c r="H55" s="14"/>
      <c r="I55" s="11"/>
      <c r="J55" s="11"/>
    </row>
    <row r="56" spans="1:10" x14ac:dyDescent="0.25">
      <c r="A56" s="9" t="s">
        <v>75</v>
      </c>
      <c r="B56" s="17">
        <v>20264212686</v>
      </c>
      <c r="C56" s="10" t="s">
        <v>10</v>
      </c>
      <c r="D56" s="10" t="s">
        <v>20</v>
      </c>
      <c r="E56" s="12">
        <v>41526</v>
      </c>
      <c r="F56" s="13">
        <v>0</v>
      </c>
      <c r="G56" s="13"/>
      <c r="H56" s="14"/>
      <c r="I56" s="11"/>
      <c r="J56" s="11"/>
    </row>
    <row r="57" spans="1:10" x14ac:dyDescent="0.25">
      <c r="A57" s="9" t="s">
        <v>76</v>
      </c>
      <c r="B57" s="17">
        <v>20360041620</v>
      </c>
      <c r="C57" s="10" t="s">
        <v>24</v>
      </c>
      <c r="D57" s="10" t="s">
        <v>20</v>
      </c>
      <c r="E57" s="12">
        <v>42506</v>
      </c>
      <c r="F57" s="13">
        <v>0</v>
      </c>
      <c r="G57" s="13"/>
      <c r="H57" s="14"/>
      <c r="I57" s="11"/>
      <c r="J57" s="11"/>
    </row>
    <row r="58" spans="1:10" x14ac:dyDescent="0.25">
      <c r="A58" s="9" t="s">
        <v>77</v>
      </c>
      <c r="B58" s="17">
        <v>20329689655</v>
      </c>
      <c r="C58" s="10" t="s">
        <v>10</v>
      </c>
      <c r="D58" s="10" t="s">
        <v>20</v>
      </c>
      <c r="E58" s="12">
        <v>43222</v>
      </c>
      <c r="F58" s="13">
        <v>0</v>
      </c>
      <c r="G58" s="13"/>
      <c r="H58" s="14"/>
      <c r="I58" s="11"/>
      <c r="J58" s="11"/>
    </row>
    <row r="59" spans="1:10" x14ac:dyDescent="0.25">
      <c r="A59" s="9" t="s">
        <v>78</v>
      </c>
      <c r="B59" s="17">
        <v>20401171208</v>
      </c>
      <c r="C59" s="10" t="s">
        <v>10</v>
      </c>
      <c r="D59" s="10" t="s">
        <v>13</v>
      </c>
      <c r="E59" s="12">
        <v>45566</v>
      </c>
      <c r="F59" s="13">
        <v>0</v>
      </c>
      <c r="G59" s="13"/>
      <c r="H59" s="14"/>
      <c r="I59" s="11"/>
      <c r="J59" s="11"/>
    </row>
    <row r="60" spans="1:10" x14ac:dyDescent="0.25">
      <c r="A60" s="9" t="s">
        <v>79</v>
      </c>
      <c r="B60" s="17">
        <v>20253812606</v>
      </c>
      <c r="C60" s="10" t="s">
        <v>10</v>
      </c>
      <c r="D60" s="10" t="s">
        <v>11</v>
      </c>
      <c r="E60" s="12">
        <v>36900</v>
      </c>
      <c r="F60" s="13">
        <v>0</v>
      </c>
      <c r="G60" s="13"/>
      <c r="H60" s="14"/>
      <c r="I60" s="11"/>
      <c r="J60" s="11"/>
    </row>
    <row r="61" spans="1:10" x14ac:dyDescent="0.25">
      <c r="A61" s="9" t="s">
        <v>80</v>
      </c>
      <c r="B61" s="17">
        <v>20283986366</v>
      </c>
      <c r="C61" s="10" t="s">
        <v>10</v>
      </c>
      <c r="D61" s="10" t="s">
        <v>11</v>
      </c>
      <c r="E61" s="12">
        <v>38742</v>
      </c>
      <c r="F61" s="13">
        <v>0</v>
      </c>
      <c r="G61" s="13"/>
      <c r="H61" s="14"/>
      <c r="I61" s="11"/>
      <c r="J61" s="11"/>
    </row>
    <row r="62" spans="1:10" x14ac:dyDescent="0.25">
      <c r="A62" s="9" t="s">
        <v>81</v>
      </c>
      <c r="B62" s="17" t="s">
        <v>82</v>
      </c>
      <c r="C62" s="10" t="s">
        <v>35</v>
      </c>
      <c r="D62" s="10" t="s">
        <v>83</v>
      </c>
      <c r="E62" s="12">
        <v>40878</v>
      </c>
      <c r="F62" s="13">
        <v>1004395.5758906639</v>
      </c>
      <c r="G62" s="13"/>
      <c r="H62" s="14"/>
      <c r="I62" s="11"/>
      <c r="J62" s="11"/>
    </row>
    <row r="63" spans="1:10" x14ac:dyDescent="0.25">
      <c r="A63" s="9" t="s">
        <v>84</v>
      </c>
      <c r="B63" s="17" t="s">
        <v>182</v>
      </c>
      <c r="C63" s="10" t="s">
        <v>10</v>
      </c>
      <c r="D63" s="10" t="s">
        <v>20</v>
      </c>
      <c r="E63" s="12">
        <v>40878</v>
      </c>
      <c r="F63" s="13">
        <v>0</v>
      </c>
      <c r="G63" s="13"/>
      <c r="H63" s="14"/>
      <c r="I63" s="11"/>
      <c r="J63" s="11"/>
    </row>
    <row r="64" spans="1:10" x14ac:dyDescent="0.25">
      <c r="A64" s="9" t="s">
        <v>85</v>
      </c>
      <c r="B64" s="17">
        <v>23368103624</v>
      </c>
      <c r="C64" s="10" t="s">
        <v>86</v>
      </c>
      <c r="D64" s="10" t="s">
        <v>11</v>
      </c>
      <c r="E64" s="12">
        <v>42478</v>
      </c>
      <c r="F64" s="13">
        <v>478311.04098532209</v>
      </c>
      <c r="G64" s="13">
        <f>86928</f>
        <v>86928</v>
      </c>
      <c r="H64" s="14"/>
      <c r="I64" s="11"/>
      <c r="J64" s="11"/>
    </row>
    <row r="65" spans="1:10" x14ac:dyDescent="0.25">
      <c r="A65" s="9" t="s">
        <v>87</v>
      </c>
      <c r="B65" s="17">
        <v>20370422053</v>
      </c>
      <c r="C65" s="10" t="s">
        <v>10</v>
      </c>
      <c r="D65" s="10" t="s">
        <v>13</v>
      </c>
      <c r="E65" s="12">
        <v>45566</v>
      </c>
      <c r="F65" s="13">
        <v>0</v>
      </c>
      <c r="G65" s="13"/>
      <c r="H65" s="14"/>
      <c r="I65" s="11"/>
      <c r="J65" s="11"/>
    </row>
    <row r="66" spans="1:10" x14ac:dyDescent="0.25">
      <c r="A66" s="9" t="s">
        <v>88</v>
      </c>
      <c r="B66" s="17">
        <v>23416034249</v>
      </c>
      <c r="C66" s="10" t="s">
        <v>10</v>
      </c>
      <c r="D66" s="10" t="s">
        <v>16</v>
      </c>
      <c r="E66" s="12">
        <v>44866</v>
      </c>
      <c r="F66" s="13">
        <v>0</v>
      </c>
      <c r="G66" s="13"/>
      <c r="H66" s="14"/>
      <c r="I66" s="11"/>
      <c r="J66" s="11"/>
    </row>
    <row r="67" spans="1:10" x14ac:dyDescent="0.25">
      <c r="A67" s="9" t="s">
        <v>89</v>
      </c>
      <c r="B67" s="17">
        <v>20281486374</v>
      </c>
      <c r="C67" s="10" t="s">
        <v>72</v>
      </c>
      <c r="D67" s="10" t="s">
        <v>45</v>
      </c>
      <c r="E67" s="12">
        <v>42248</v>
      </c>
      <c r="F67" s="13">
        <v>579656.25519838685</v>
      </c>
      <c r="G67" s="13"/>
      <c r="H67" s="14"/>
      <c r="I67" s="11"/>
      <c r="J67" s="11"/>
    </row>
    <row r="68" spans="1:10" x14ac:dyDescent="0.25">
      <c r="A68" s="9" t="s">
        <v>90</v>
      </c>
      <c r="B68" s="17">
        <v>20313906923</v>
      </c>
      <c r="C68" s="10" t="s">
        <v>10</v>
      </c>
      <c r="D68" s="10" t="s">
        <v>11</v>
      </c>
      <c r="E68" s="12">
        <v>41641</v>
      </c>
      <c r="F68" s="13">
        <v>0</v>
      </c>
      <c r="G68" s="13"/>
      <c r="H68" s="14"/>
      <c r="I68" s="11"/>
      <c r="J68" s="11"/>
    </row>
    <row r="69" spans="1:10" x14ac:dyDescent="0.25">
      <c r="A69" s="9" t="s">
        <v>91</v>
      </c>
      <c r="B69" s="17">
        <v>20307041589</v>
      </c>
      <c r="C69" s="10" t="s">
        <v>10</v>
      </c>
      <c r="D69" s="10" t="s">
        <v>20</v>
      </c>
      <c r="E69" s="12">
        <v>40345</v>
      </c>
      <c r="F69" s="13">
        <v>0</v>
      </c>
      <c r="G69" s="13"/>
      <c r="H69" s="14"/>
      <c r="I69" s="11"/>
      <c r="J69" s="11"/>
    </row>
    <row r="70" spans="1:10" x14ac:dyDescent="0.25">
      <c r="A70" s="9" t="s">
        <v>92</v>
      </c>
      <c r="B70" s="17">
        <v>20375729327</v>
      </c>
      <c r="C70" s="10" t="s">
        <v>10</v>
      </c>
      <c r="D70" s="10" t="s">
        <v>11</v>
      </c>
      <c r="E70" s="12">
        <v>42219</v>
      </c>
      <c r="F70" s="13">
        <v>138445.01766566272</v>
      </c>
      <c r="G70" s="13"/>
      <c r="H70" s="14"/>
      <c r="I70" s="11"/>
      <c r="J70" s="11"/>
    </row>
    <row r="71" spans="1:10" x14ac:dyDescent="0.25">
      <c r="A71" s="9" t="s">
        <v>93</v>
      </c>
      <c r="B71" s="17">
        <v>20401202871</v>
      </c>
      <c r="C71" s="10" t="s">
        <v>24</v>
      </c>
      <c r="D71" s="10" t="s">
        <v>13</v>
      </c>
      <c r="E71" s="12">
        <v>44683</v>
      </c>
      <c r="F71" s="13">
        <v>0</v>
      </c>
      <c r="G71" s="13"/>
      <c r="H71" s="14"/>
      <c r="I71" s="11"/>
      <c r="J71" s="11"/>
    </row>
    <row r="72" spans="1:10" x14ac:dyDescent="0.25">
      <c r="A72" s="9" t="s">
        <v>94</v>
      </c>
      <c r="B72" s="17">
        <v>27330574653</v>
      </c>
      <c r="C72" s="10" t="s">
        <v>35</v>
      </c>
      <c r="D72" s="10" t="s">
        <v>83</v>
      </c>
      <c r="E72" s="12">
        <v>43132</v>
      </c>
      <c r="F72" s="13">
        <v>509889.69489913399</v>
      </c>
      <c r="G72" s="13"/>
      <c r="H72" s="14"/>
      <c r="I72" s="11"/>
      <c r="J72" s="11"/>
    </row>
    <row r="73" spans="1:10" x14ac:dyDescent="0.25">
      <c r="A73" s="9" t="s">
        <v>95</v>
      </c>
      <c r="B73" s="17">
        <v>20337704388</v>
      </c>
      <c r="C73" s="10" t="s">
        <v>10</v>
      </c>
      <c r="D73" s="10" t="s">
        <v>20</v>
      </c>
      <c r="E73" s="12">
        <v>45078</v>
      </c>
      <c r="F73" s="13">
        <v>174835.39520000003</v>
      </c>
      <c r="G73" s="13"/>
      <c r="H73" s="14"/>
      <c r="I73" s="11"/>
      <c r="J73" s="11"/>
    </row>
    <row r="74" spans="1:10" x14ac:dyDescent="0.25">
      <c r="A74" s="9" t="s">
        <v>96</v>
      </c>
      <c r="B74" s="17">
        <v>20421270202</v>
      </c>
      <c r="C74" s="10" t="s">
        <v>10</v>
      </c>
      <c r="D74" s="10" t="s">
        <v>13</v>
      </c>
      <c r="E74" s="12">
        <v>45566</v>
      </c>
      <c r="F74" s="13">
        <v>0</v>
      </c>
      <c r="G74" s="13"/>
      <c r="H74" s="14"/>
      <c r="I74" s="11"/>
      <c r="J74" s="11"/>
    </row>
    <row r="75" spans="1:10" x14ac:dyDescent="0.25">
      <c r="A75" s="9" t="s">
        <v>97</v>
      </c>
      <c r="B75" s="17">
        <v>20308384269</v>
      </c>
      <c r="C75" s="10" t="s">
        <v>19</v>
      </c>
      <c r="D75" s="10" t="s">
        <v>15</v>
      </c>
      <c r="E75" s="12">
        <v>38869</v>
      </c>
      <c r="F75" s="13">
        <v>1182373.3446124697</v>
      </c>
      <c r="G75" s="13">
        <v>108660</v>
      </c>
      <c r="H75" s="14"/>
      <c r="I75" s="11"/>
      <c r="J75" s="11"/>
    </row>
    <row r="76" spans="1:10" x14ac:dyDescent="0.25">
      <c r="A76" s="9" t="s">
        <v>98</v>
      </c>
      <c r="B76" s="17">
        <v>20338687673</v>
      </c>
      <c r="C76" s="10" t="s">
        <v>10</v>
      </c>
      <c r="D76" s="10" t="s">
        <v>11</v>
      </c>
      <c r="E76" s="12">
        <v>40878</v>
      </c>
      <c r="F76" s="13">
        <v>120199.33420000001</v>
      </c>
      <c r="G76" s="13"/>
      <c r="H76" s="14"/>
      <c r="I76" s="11"/>
      <c r="J76" s="11"/>
    </row>
    <row r="77" spans="1:10" x14ac:dyDescent="0.25">
      <c r="A77" s="9" t="s">
        <v>99</v>
      </c>
      <c r="B77" s="17">
        <v>20356412347</v>
      </c>
      <c r="C77" s="10" t="s">
        <v>10</v>
      </c>
      <c r="D77" s="10" t="s">
        <v>20</v>
      </c>
      <c r="E77" s="12">
        <v>44200</v>
      </c>
      <c r="F77" s="13">
        <v>0</v>
      </c>
      <c r="G77" s="13"/>
      <c r="H77" s="14"/>
      <c r="I77" s="11"/>
      <c r="J77" s="11"/>
    </row>
    <row r="78" spans="1:10" x14ac:dyDescent="0.25">
      <c r="A78" s="9" t="s">
        <v>100</v>
      </c>
      <c r="B78" s="17">
        <v>20416035920</v>
      </c>
      <c r="C78" s="10" t="s">
        <v>10</v>
      </c>
      <c r="D78" s="10" t="s">
        <v>13</v>
      </c>
      <c r="E78" s="12">
        <v>45078</v>
      </c>
      <c r="F78" s="13">
        <v>0</v>
      </c>
      <c r="G78" s="13"/>
      <c r="H78" s="14"/>
      <c r="I78" s="11"/>
      <c r="J78" s="11"/>
    </row>
    <row r="79" spans="1:10" x14ac:dyDescent="0.25">
      <c r="A79" s="9" t="s">
        <v>101</v>
      </c>
      <c r="B79" s="17">
        <v>20256489067</v>
      </c>
      <c r="C79" s="10" t="s">
        <v>24</v>
      </c>
      <c r="D79" s="10" t="s">
        <v>11</v>
      </c>
      <c r="E79" s="12">
        <v>40269</v>
      </c>
      <c r="F79" s="13">
        <v>114013.54395995755</v>
      </c>
      <c r="G79" s="13"/>
      <c r="H79" s="14"/>
      <c r="I79" s="11"/>
      <c r="J79" s="11"/>
    </row>
    <row r="80" spans="1:10" x14ac:dyDescent="0.25">
      <c r="A80" s="9" t="s">
        <v>102</v>
      </c>
      <c r="B80" s="17">
        <v>27399480294</v>
      </c>
      <c r="C80" s="10" t="s">
        <v>35</v>
      </c>
      <c r="D80" s="10" t="s">
        <v>103</v>
      </c>
      <c r="E80" s="12">
        <v>44228</v>
      </c>
      <c r="F80" s="13">
        <v>899517.15827187547</v>
      </c>
      <c r="G80" s="13">
        <v>108660</v>
      </c>
      <c r="H80" s="14"/>
      <c r="I80" s="11"/>
      <c r="J80" s="11">
        <v>-205023.5</v>
      </c>
    </row>
    <row r="81" spans="1:10" x14ac:dyDescent="0.25">
      <c r="A81" s="9" t="s">
        <v>104</v>
      </c>
      <c r="B81" s="17"/>
      <c r="C81" s="10" t="s">
        <v>86</v>
      </c>
      <c r="D81" s="10" t="s">
        <v>83</v>
      </c>
      <c r="E81" s="12">
        <v>45078</v>
      </c>
      <c r="F81" s="13">
        <v>0</v>
      </c>
      <c r="G81" s="13"/>
      <c r="H81" s="14"/>
      <c r="I81" s="11"/>
      <c r="J81" s="11"/>
    </row>
    <row r="82" spans="1:10" x14ac:dyDescent="0.25">
      <c r="A82" s="9" t="s">
        <v>105</v>
      </c>
      <c r="B82" s="17">
        <v>20180743414</v>
      </c>
      <c r="C82" s="10" t="s">
        <v>65</v>
      </c>
      <c r="D82" s="10" t="s">
        <v>27</v>
      </c>
      <c r="E82" s="12">
        <v>32203</v>
      </c>
      <c r="F82" s="13">
        <v>0</v>
      </c>
      <c r="G82" s="13"/>
      <c r="H82" s="14">
        <v>-539336.39</v>
      </c>
      <c r="I82" s="11">
        <v>-717031.79</v>
      </c>
      <c r="J82" s="11"/>
    </row>
    <row r="83" spans="1:10" x14ac:dyDescent="0.25">
      <c r="A83" s="9" t="s">
        <v>106</v>
      </c>
      <c r="B83" s="17">
        <v>27409711419</v>
      </c>
      <c r="C83" s="10" t="s">
        <v>65</v>
      </c>
      <c r="D83" s="10" t="s">
        <v>83</v>
      </c>
      <c r="E83" s="12">
        <v>44410</v>
      </c>
      <c r="F83" s="13">
        <v>883382.53948535654</v>
      </c>
      <c r="G83" s="13"/>
      <c r="H83" s="14"/>
      <c r="I83" s="11"/>
      <c r="J83" s="11">
        <v>-282514.25</v>
      </c>
    </row>
    <row r="84" spans="1:10" x14ac:dyDescent="0.25">
      <c r="A84" s="9" t="s">
        <v>107</v>
      </c>
      <c r="B84" s="17" t="s">
        <v>183</v>
      </c>
      <c r="C84" s="10" t="s">
        <v>65</v>
      </c>
      <c r="D84" s="10" t="s">
        <v>83</v>
      </c>
      <c r="E84" s="12">
        <v>45017</v>
      </c>
      <c r="F84" s="13">
        <v>0</v>
      </c>
      <c r="G84" s="13"/>
      <c r="H84" s="14"/>
      <c r="I84" s="11"/>
      <c r="J84" s="11"/>
    </row>
    <row r="85" spans="1:10" x14ac:dyDescent="0.25">
      <c r="A85" s="9" t="s">
        <v>108</v>
      </c>
      <c r="B85" s="17">
        <v>20291257322</v>
      </c>
      <c r="C85" s="10" t="s">
        <v>10</v>
      </c>
      <c r="D85" s="10" t="s">
        <v>20</v>
      </c>
      <c r="E85" s="12">
        <v>44075</v>
      </c>
      <c r="F85" s="13">
        <v>109272.12200000002</v>
      </c>
      <c r="G85" s="13"/>
      <c r="H85" s="14"/>
      <c r="I85" s="11"/>
      <c r="J85" s="11"/>
    </row>
    <row r="86" spans="1:10" x14ac:dyDescent="0.25">
      <c r="A86" s="9" t="s">
        <v>109</v>
      </c>
      <c r="B86" s="17">
        <v>20201678774</v>
      </c>
      <c r="C86" s="10" t="s">
        <v>19</v>
      </c>
      <c r="D86" s="10" t="s">
        <v>41</v>
      </c>
      <c r="E86" s="12">
        <v>40269</v>
      </c>
      <c r="F86" s="13">
        <v>109272.12200000002</v>
      </c>
      <c r="G86" s="13"/>
      <c r="H86" s="14"/>
      <c r="I86" s="11"/>
      <c r="J86" s="11"/>
    </row>
    <row r="87" spans="1:10" x14ac:dyDescent="0.25">
      <c r="A87" s="9" t="s">
        <v>110</v>
      </c>
      <c r="B87" s="17">
        <v>20308918751</v>
      </c>
      <c r="C87" s="10" t="s">
        <v>10</v>
      </c>
      <c r="D87" s="10" t="s">
        <v>20</v>
      </c>
      <c r="E87" s="12">
        <v>43222</v>
      </c>
      <c r="F87" s="13">
        <v>0</v>
      </c>
      <c r="G87" s="13"/>
      <c r="H87" s="14"/>
      <c r="I87" s="11"/>
      <c r="J87" s="11"/>
    </row>
    <row r="88" spans="1:10" x14ac:dyDescent="0.25">
      <c r="A88" s="9" t="s">
        <v>111</v>
      </c>
      <c r="B88" s="17">
        <v>20370459917</v>
      </c>
      <c r="C88" s="10" t="s">
        <v>10</v>
      </c>
      <c r="D88" s="10" t="s">
        <v>41</v>
      </c>
      <c r="E88" s="12">
        <v>45566</v>
      </c>
      <c r="F88" s="13">
        <v>0</v>
      </c>
      <c r="G88" s="13"/>
      <c r="H88" s="14"/>
      <c r="I88" s="11"/>
      <c r="J88" s="11"/>
    </row>
    <row r="89" spans="1:10" x14ac:dyDescent="0.25">
      <c r="A89" s="9" t="s">
        <v>112</v>
      </c>
      <c r="B89" s="17">
        <v>20183223497</v>
      </c>
      <c r="C89" s="10" t="s">
        <v>10</v>
      </c>
      <c r="D89" s="10" t="s">
        <v>20</v>
      </c>
      <c r="E89" s="12">
        <v>42234</v>
      </c>
      <c r="F89" s="13">
        <v>273180.30500000005</v>
      </c>
      <c r="G89" s="13"/>
      <c r="H89" s="14"/>
      <c r="I89" s="11"/>
      <c r="J89" s="11"/>
    </row>
    <row r="90" spans="1:10" x14ac:dyDescent="0.25">
      <c r="A90" s="9" t="s">
        <v>113</v>
      </c>
      <c r="B90" s="17">
        <v>20407868200</v>
      </c>
      <c r="C90" s="10" t="s">
        <v>10</v>
      </c>
      <c r="D90" s="10" t="s">
        <v>13</v>
      </c>
      <c r="E90" s="12">
        <v>45505</v>
      </c>
      <c r="F90" s="13">
        <v>0</v>
      </c>
      <c r="G90" s="11"/>
      <c r="H90" s="14"/>
      <c r="I90" s="11"/>
      <c r="J90" s="11"/>
    </row>
    <row r="91" spans="1:10" x14ac:dyDescent="0.25">
      <c r="A91" s="9" t="s">
        <v>114</v>
      </c>
      <c r="B91" s="17">
        <v>20370721670</v>
      </c>
      <c r="C91" s="10" t="s">
        <v>72</v>
      </c>
      <c r="D91" s="10" t="s">
        <v>20</v>
      </c>
      <c r="E91" s="12">
        <v>42401</v>
      </c>
      <c r="F91" s="13">
        <v>99888.571481273641</v>
      </c>
      <c r="G91" s="13"/>
      <c r="H91" s="14"/>
      <c r="I91" s="11"/>
      <c r="J91" s="11"/>
    </row>
    <row r="92" spans="1:10" x14ac:dyDescent="0.25">
      <c r="A92" s="9" t="s">
        <v>115</v>
      </c>
      <c r="B92" s="17">
        <v>23360053059</v>
      </c>
      <c r="C92" s="10" t="s">
        <v>10</v>
      </c>
      <c r="D92" s="10" t="s">
        <v>11</v>
      </c>
      <c r="E92" s="12">
        <v>36900</v>
      </c>
      <c r="F92" s="13">
        <v>0</v>
      </c>
      <c r="G92" s="13"/>
      <c r="H92" s="14"/>
      <c r="I92" s="11"/>
      <c r="J92" s="11"/>
    </row>
    <row r="93" spans="1:10" x14ac:dyDescent="0.25">
      <c r="A93" s="9" t="s">
        <v>116</v>
      </c>
      <c r="B93" s="17">
        <v>20279522851</v>
      </c>
      <c r="C93" s="10" t="s">
        <v>10</v>
      </c>
      <c r="D93" s="10" t="s">
        <v>11</v>
      </c>
      <c r="E93" s="12">
        <v>40345</v>
      </c>
      <c r="F93" s="13">
        <v>0</v>
      </c>
      <c r="G93" s="13"/>
      <c r="H93" s="14"/>
      <c r="I93" s="11"/>
      <c r="J93" s="11"/>
    </row>
    <row r="94" spans="1:10" x14ac:dyDescent="0.25">
      <c r="A94" s="9" t="s">
        <v>117</v>
      </c>
      <c r="B94" s="17">
        <v>20289330292</v>
      </c>
      <c r="C94" s="10" t="s">
        <v>10</v>
      </c>
      <c r="D94" s="10" t="s">
        <v>20</v>
      </c>
      <c r="E94" s="12">
        <v>40878</v>
      </c>
      <c r="F94" s="13">
        <v>0</v>
      </c>
      <c r="G94" s="13"/>
      <c r="H94" s="14"/>
      <c r="I94" s="11"/>
      <c r="J94" s="11"/>
    </row>
    <row r="95" spans="1:10" x14ac:dyDescent="0.25">
      <c r="A95" s="9" t="s">
        <v>118</v>
      </c>
      <c r="B95" s="17">
        <v>20233968952</v>
      </c>
      <c r="C95" s="10" t="s">
        <v>72</v>
      </c>
      <c r="D95" s="10" t="s">
        <v>45</v>
      </c>
      <c r="E95" s="12">
        <v>38504</v>
      </c>
      <c r="F95" s="13">
        <v>0</v>
      </c>
      <c r="G95" s="13"/>
      <c r="H95" s="14"/>
      <c r="I95" s="11"/>
      <c r="J95" s="11"/>
    </row>
    <row r="96" spans="1:10" x14ac:dyDescent="0.25">
      <c r="A96" s="9" t="s">
        <v>119</v>
      </c>
      <c r="B96" s="17">
        <v>20370421537</v>
      </c>
      <c r="C96" s="10" t="s">
        <v>10</v>
      </c>
      <c r="D96" s="10" t="s">
        <v>16</v>
      </c>
      <c r="E96" s="12">
        <v>44531</v>
      </c>
      <c r="F96" s="13">
        <v>0</v>
      </c>
      <c r="G96" s="13"/>
      <c r="H96" s="14"/>
      <c r="I96" s="11"/>
      <c r="J96" s="11"/>
    </row>
    <row r="97" spans="1:10" x14ac:dyDescent="0.25">
      <c r="A97" s="9" t="s">
        <v>120</v>
      </c>
      <c r="B97" s="17">
        <v>27356450669</v>
      </c>
      <c r="C97" s="10" t="s">
        <v>10</v>
      </c>
      <c r="D97" s="10" t="s">
        <v>16</v>
      </c>
      <c r="E97" s="12">
        <v>44837</v>
      </c>
      <c r="F97" s="13">
        <v>0</v>
      </c>
      <c r="G97" s="13"/>
      <c r="H97" s="14"/>
      <c r="I97" s="11"/>
      <c r="J97" s="11"/>
    </row>
    <row r="98" spans="1:10" x14ac:dyDescent="0.25">
      <c r="A98" s="9" t="s">
        <v>121</v>
      </c>
      <c r="B98" s="17">
        <v>20352938069</v>
      </c>
      <c r="C98" s="10" t="s">
        <v>10</v>
      </c>
      <c r="D98" s="10" t="s">
        <v>16</v>
      </c>
      <c r="E98" s="12">
        <v>43862</v>
      </c>
      <c r="F98" s="13">
        <v>109272.12200000002</v>
      </c>
      <c r="G98" s="13"/>
      <c r="H98" s="14"/>
      <c r="I98" s="11"/>
      <c r="J98" s="11"/>
    </row>
    <row r="99" spans="1:10" x14ac:dyDescent="0.25">
      <c r="A99" s="9" t="s">
        <v>122</v>
      </c>
      <c r="B99" s="17">
        <v>20423273314</v>
      </c>
      <c r="C99" s="10" t="s">
        <v>10</v>
      </c>
      <c r="D99" s="10" t="s">
        <v>20</v>
      </c>
      <c r="E99" s="12">
        <v>44866</v>
      </c>
      <c r="F99" s="13">
        <v>174835.39520000003</v>
      </c>
      <c r="G99" s="13"/>
      <c r="H99" s="14"/>
      <c r="I99" s="11"/>
      <c r="J99" s="11"/>
    </row>
    <row r="100" spans="1:10" x14ac:dyDescent="0.25">
      <c r="A100" s="9" t="s">
        <v>124</v>
      </c>
      <c r="B100" s="17">
        <v>20396628342</v>
      </c>
      <c r="C100" s="10" t="s">
        <v>35</v>
      </c>
      <c r="D100" s="10" t="s">
        <v>125</v>
      </c>
      <c r="E100" s="12">
        <v>45352</v>
      </c>
      <c r="F100" s="13">
        <v>811625.63428415009</v>
      </c>
      <c r="G100" s="13"/>
      <c r="H100" s="14"/>
      <c r="I100" s="11"/>
      <c r="J100" s="11"/>
    </row>
    <row r="101" spans="1:10" x14ac:dyDescent="0.25">
      <c r="A101" s="9" t="s">
        <v>126</v>
      </c>
      <c r="B101" s="17">
        <v>20349375150</v>
      </c>
      <c r="C101" s="10" t="s">
        <v>86</v>
      </c>
      <c r="D101" s="10" t="s">
        <v>11</v>
      </c>
      <c r="E101" s="12">
        <v>43374</v>
      </c>
      <c r="F101" s="13">
        <v>442018.36208223074</v>
      </c>
      <c r="G101" s="13">
        <v>86928</v>
      </c>
      <c r="H101" s="14"/>
      <c r="I101" s="11"/>
      <c r="J101" s="11"/>
    </row>
    <row r="102" spans="1:10" x14ac:dyDescent="0.25">
      <c r="A102" s="9" t="s">
        <v>178</v>
      </c>
      <c r="B102" s="17" t="s">
        <v>179</v>
      </c>
      <c r="C102" s="10" t="s">
        <v>10</v>
      </c>
      <c r="D102" s="10" t="s">
        <v>11</v>
      </c>
      <c r="E102" s="12">
        <v>33619</v>
      </c>
      <c r="F102" s="13">
        <v>0</v>
      </c>
      <c r="G102" s="13"/>
      <c r="H102" s="14"/>
      <c r="I102" s="11"/>
      <c r="J102" s="11"/>
    </row>
    <row r="103" spans="1:10" x14ac:dyDescent="0.25">
      <c r="A103" s="9" t="s">
        <v>127</v>
      </c>
      <c r="B103" s="17">
        <v>20390933577</v>
      </c>
      <c r="C103" s="10" t="s">
        <v>10</v>
      </c>
      <c r="D103" s="10" t="s">
        <v>16</v>
      </c>
      <c r="E103" s="12">
        <v>44683</v>
      </c>
      <c r="F103" s="13">
        <v>0</v>
      </c>
      <c r="G103" s="13"/>
      <c r="H103" s="14"/>
      <c r="I103" s="11"/>
      <c r="J103" s="11"/>
    </row>
    <row r="104" spans="1:10" x14ac:dyDescent="0.25">
      <c r="A104" s="9" t="s">
        <v>128</v>
      </c>
      <c r="B104" s="17">
        <v>27290061399</v>
      </c>
      <c r="C104" s="10" t="s">
        <v>35</v>
      </c>
      <c r="D104" s="10" t="s">
        <v>83</v>
      </c>
      <c r="E104" s="12">
        <v>43770</v>
      </c>
      <c r="F104" s="13">
        <v>463186.47999296192</v>
      </c>
      <c r="G104" s="13"/>
      <c r="H104" s="14"/>
      <c r="I104" s="11"/>
      <c r="J104" s="11"/>
    </row>
    <row r="105" spans="1:10" x14ac:dyDescent="0.25">
      <c r="A105" s="9" t="s">
        <v>129</v>
      </c>
      <c r="B105" s="17">
        <v>27302531744</v>
      </c>
      <c r="C105" s="10" t="s">
        <v>35</v>
      </c>
      <c r="D105" s="10" t="s">
        <v>83</v>
      </c>
      <c r="E105" s="12">
        <v>43252</v>
      </c>
      <c r="F105" s="13">
        <v>654595.97086028883</v>
      </c>
      <c r="G105" s="13"/>
      <c r="H105" s="14"/>
      <c r="I105" s="11"/>
      <c r="J105" s="11"/>
    </row>
    <row r="106" spans="1:10" x14ac:dyDescent="0.25">
      <c r="A106" s="9" t="s">
        <v>130</v>
      </c>
      <c r="B106" s="17">
        <v>20294872737</v>
      </c>
      <c r="C106" s="10" t="s">
        <v>10</v>
      </c>
      <c r="D106" s="10" t="s">
        <v>20</v>
      </c>
      <c r="E106" s="12">
        <v>42506</v>
      </c>
      <c r="F106" s="13">
        <v>0</v>
      </c>
      <c r="G106" s="13"/>
      <c r="H106" s="14"/>
      <c r="I106" s="11"/>
      <c r="J106" s="11"/>
    </row>
    <row r="107" spans="1:10" x14ac:dyDescent="0.25">
      <c r="A107" s="9" t="s">
        <v>131</v>
      </c>
      <c r="B107" s="17">
        <v>20241149006</v>
      </c>
      <c r="C107" s="10" t="s">
        <v>24</v>
      </c>
      <c r="D107" s="10" t="s">
        <v>83</v>
      </c>
      <c r="E107" s="12">
        <v>37316</v>
      </c>
      <c r="F107" s="13">
        <v>106128.59133782858</v>
      </c>
      <c r="G107" s="13"/>
      <c r="H107" s="14"/>
      <c r="I107" s="11"/>
      <c r="J107" s="11"/>
    </row>
    <row r="108" spans="1:10" x14ac:dyDescent="0.25">
      <c r="A108" s="9" t="s">
        <v>132</v>
      </c>
      <c r="B108" s="17">
        <v>23145104319</v>
      </c>
      <c r="C108" s="10" t="s">
        <v>10</v>
      </c>
      <c r="D108" s="10" t="s">
        <v>20</v>
      </c>
      <c r="E108" s="12">
        <v>40345</v>
      </c>
      <c r="F108" s="13">
        <v>0</v>
      </c>
      <c r="G108" s="13"/>
      <c r="H108" s="14"/>
      <c r="I108" s="11"/>
      <c r="J108" s="11"/>
    </row>
    <row r="109" spans="1:10" x14ac:dyDescent="0.25">
      <c r="A109" s="9" t="s">
        <v>133</v>
      </c>
      <c r="B109" s="17">
        <v>20244798870</v>
      </c>
      <c r="C109" s="10" t="s">
        <v>19</v>
      </c>
      <c r="D109" s="10" t="s">
        <v>45</v>
      </c>
      <c r="E109" s="12">
        <v>44075</v>
      </c>
      <c r="F109" s="13">
        <v>0</v>
      </c>
      <c r="G109" s="13"/>
      <c r="H109" s="14"/>
      <c r="I109" s="11"/>
      <c r="J109" s="11"/>
    </row>
    <row r="110" spans="1:10" x14ac:dyDescent="0.25">
      <c r="A110" s="9" t="s">
        <v>134</v>
      </c>
      <c r="B110" s="17">
        <v>20421785407</v>
      </c>
      <c r="C110" s="10" t="s">
        <v>10</v>
      </c>
      <c r="D110" s="10" t="s">
        <v>16</v>
      </c>
      <c r="E110" s="12">
        <v>44200</v>
      </c>
      <c r="F110" s="13">
        <v>0</v>
      </c>
      <c r="G110" s="13"/>
      <c r="H110" s="14"/>
      <c r="I110" s="11"/>
      <c r="J110" s="11"/>
    </row>
    <row r="111" spans="1:10" x14ac:dyDescent="0.25">
      <c r="A111" s="9" t="s">
        <v>135</v>
      </c>
      <c r="B111" s="17">
        <v>20355878172</v>
      </c>
      <c r="C111" s="10" t="s">
        <v>10</v>
      </c>
      <c r="D111" s="10" t="s">
        <v>16</v>
      </c>
      <c r="E111" s="12">
        <v>44410</v>
      </c>
      <c r="F111" s="13">
        <v>0</v>
      </c>
      <c r="G111" s="13"/>
      <c r="H111" s="14"/>
      <c r="I111" s="11"/>
      <c r="J111" s="11"/>
    </row>
    <row r="112" spans="1:10" x14ac:dyDescent="0.25">
      <c r="A112" s="9" t="s">
        <v>136</v>
      </c>
      <c r="B112" s="17">
        <v>27309163333</v>
      </c>
      <c r="C112" s="10" t="s">
        <v>35</v>
      </c>
      <c r="D112" s="10" t="s">
        <v>137</v>
      </c>
      <c r="E112" s="12">
        <v>42095</v>
      </c>
      <c r="F112" s="13">
        <v>304086.69412905804</v>
      </c>
      <c r="G112" s="13"/>
      <c r="H112" s="14"/>
      <c r="I112" s="11"/>
      <c r="J112" s="11"/>
    </row>
    <row r="113" spans="1:10" x14ac:dyDescent="0.25">
      <c r="A113" s="9" t="s">
        <v>138</v>
      </c>
      <c r="B113" s="17">
        <v>20335132638</v>
      </c>
      <c r="C113" s="10" t="s">
        <v>10</v>
      </c>
      <c r="D113" s="10" t="s">
        <v>20</v>
      </c>
      <c r="E113" s="12">
        <v>40771</v>
      </c>
      <c r="F113" s="13">
        <v>0</v>
      </c>
      <c r="G113" s="13"/>
      <c r="H113" s="14"/>
      <c r="I113" s="11"/>
      <c r="J113" s="11"/>
    </row>
    <row r="114" spans="1:10" x14ac:dyDescent="0.25">
      <c r="A114" s="9" t="s">
        <v>139</v>
      </c>
      <c r="B114" s="17">
        <v>23215793699</v>
      </c>
      <c r="C114" s="10" t="s">
        <v>10</v>
      </c>
      <c r="D114" s="10" t="s">
        <v>20</v>
      </c>
      <c r="E114" s="12">
        <v>38803</v>
      </c>
      <c r="F114" s="13">
        <v>0</v>
      </c>
      <c r="G114" s="13"/>
      <c r="H114" s="14"/>
      <c r="I114" s="11"/>
      <c r="J114" s="11"/>
    </row>
    <row r="115" spans="1:10" x14ac:dyDescent="0.25">
      <c r="A115" s="9" t="s">
        <v>140</v>
      </c>
      <c r="B115" s="17">
        <v>20306892143</v>
      </c>
      <c r="C115" s="10" t="s">
        <v>10</v>
      </c>
      <c r="D115" s="10" t="s">
        <v>11</v>
      </c>
      <c r="E115" s="12">
        <v>37053</v>
      </c>
      <c r="F115" s="13">
        <v>152980.97080000001</v>
      </c>
      <c r="G115" s="13"/>
      <c r="H115" s="14"/>
      <c r="I115" s="11"/>
      <c r="J115" s="11"/>
    </row>
    <row r="116" spans="1:10" x14ac:dyDescent="0.25">
      <c r="A116" s="9" t="s">
        <v>141</v>
      </c>
      <c r="B116" s="17">
        <v>20398182228</v>
      </c>
      <c r="C116" s="10" t="s">
        <v>10</v>
      </c>
      <c r="D116" s="10" t="s">
        <v>16</v>
      </c>
      <c r="E116" s="12">
        <v>44837</v>
      </c>
      <c r="F116" s="13">
        <v>0</v>
      </c>
      <c r="G116" s="13"/>
      <c r="H116" s="14"/>
      <c r="I116" s="11"/>
      <c r="J116" s="11"/>
    </row>
    <row r="117" spans="1:10" x14ac:dyDescent="0.25">
      <c r="A117" s="9" t="s">
        <v>142</v>
      </c>
      <c r="B117" s="17">
        <v>20322191236</v>
      </c>
      <c r="C117" s="10" t="s">
        <v>10</v>
      </c>
      <c r="D117" s="10" t="s">
        <v>13</v>
      </c>
      <c r="E117" s="12">
        <v>45505</v>
      </c>
      <c r="F117" s="13">
        <v>0</v>
      </c>
      <c r="G117" s="11"/>
      <c r="H117" s="14"/>
      <c r="I117" s="11"/>
      <c r="J117" s="11"/>
    </row>
    <row r="118" spans="1:10" x14ac:dyDescent="0.25">
      <c r="A118" s="9" t="s">
        <v>143</v>
      </c>
      <c r="B118" s="17">
        <v>20283987435</v>
      </c>
      <c r="C118" s="10" t="s">
        <v>24</v>
      </c>
      <c r="D118" s="10" t="s">
        <v>25</v>
      </c>
      <c r="E118" s="12">
        <v>41015</v>
      </c>
      <c r="F118" s="13">
        <v>0</v>
      </c>
      <c r="G118" s="13"/>
      <c r="H118" s="14"/>
      <c r="I118" s="11"/>
      <c r="J118" s="11"/>
    </row>
    <row r="119" spans="1:10" x14ac:dyDescent="0.25">
      <c r="A119" s="9" t="s">
        <v>144</v>
      </c>
      <c r="B119" s="17">
        <v>20385982667</v>
      </c>
      <c r="C119" s="10" t="s">
        <v>10</v>
      </c>
      <c r="D119" s="10" t="s">
        <v>25</v>
      </c>
      <c r="E119" s="12">
        <v>43222</v>
      </c>
      <c r="F119" s="13">
        <v>0</v>
      </c>
      <c r="G119" s="13"/>
      <c r="H119" s="14"/>
      <c r="I119" s="11"/>
      <c r="J119" s="11"/>
    </row>
    <row r="120" spans="1:10" x14ac:dyDescent="0.25">
      <c r="A120" s="9" t="s">
        <v>145</v>
      </c>
      <c r="B120" s="17">
        <v>20247201042</v>
      </c>
      <c r="C120" s="10" t="s">
        <v>19</v>
      </c>
      <c r="D120" s="10" t="s">
        <v>41</v>
      </c>
      <c r="E120" s="12">
        <v>40665</v>
      </c>
      <c r="F120" s="13">
        <v>0</v>
      </c>
      <c r="G120" s="13"/>
      <c r="H120" s="14"/>
      <c r="I120" s="11"/>
      <c r="J120" s="11"/>
    </row>
    <row r="121" spans="1:10" x14ac:dyDescent="0.25">
      <c r="A121" s="9" t="s">
        <v>146</v>
      </c>
      <c r="B121" s="17">
        <v>20286454233</v>
      </c>
      <c r="C121" s="10" t="s">
        <v>10</v>
      </c>
      <c r="D121" s="10" t="s">
        <v>20</v>
      </c>
      <c r="E121" s="12">
        <v>41323</v>
      </c>
      <c r="F121" s="13">
        <v>0</v>
      </c>
      <c r="G121" s="13"/>
      <c r="H121" s="14"/>
      <c r="I121" s="11"/>
      <c r="J121" s="11"/>
    </row>
    <row r="122" spans="1:10" x14ac:dyDescent="0.25">
      <c r="A122" s="9" t="s">
        <v>147</v>
      </c>
      <c r="B122" s="17">
        <v>20355505457</v>
      </c>
      <c r="C122" s="10" t="s">
        <v>72</v>
      </c>
      <c r="D122" s="10" t="s">
        <v>148</v>
      </c>
      <c r="E122" s="12">
        <v>41015</v>
      </c>
      <c r="F122" s="13">
        <v>984317.92821690196</v>
      </c>
      <c r="G122" s="13"/>
      <c r="H122" s="14"/>
      <c r="I122" s="11"/>
      <c r="J122" s="11"/>
    </row>
    <row r="123" spans="1:10" x14ac:dyDescent="0.25">
      <c r="A123" s="9" t="s">
        <v>150</v>
      </c>
      <c r="B123" s="17">
        <v>20403176495</v>
      </c>
      <c r="C123" s="10" t="s">
        <v>10</v>
      </c>
      <c r="D123" s="10" t="s">
        <v>16</v>
      </c>
      <c r="E123" s="12">
        <v>45505</v>
      </c>
      <c r="F123" s="13">
        <v>103807.99620000001</v>
      </c>
      <c r="G123" s="11"/>
      <c r="H123" s="14"/>
      <c r="I123" s="11"/>
      <c r="J123" s="11"/>
    </row>
    <row r="124" spans="1:10" x14ac:dyDescent="0.25">
      <c r="A124" s="9" t="s">
        <v>151</v>
      </c>
      <c r="B124" s="17">
        <v>20223294376</v>
      </c>
      <c r="C124" s="10" t="s">
        <v>10</v>
      </c>
      <c r="D124" s="10" t="s">
        <v>11</v>
      </c>
      <c r="E124" s="12">
        <v>37760</v>
      </c>
      <c r="F124" s="13">
        <v>0</v>
      </c>
      <c r="G124" s="13"/>
      <c r="H124" s="14"/>
      <c r="I124" s="11"/>
      <c r="J124" s="11"/>
    </row>
    <row r="125" spans="1:10" x14ac:dyDescent="0.25">
      <c r="A125" s="9" t="s">
        <v>152</v>
      </c>
      <c r="B125" s="17">
        <v>20334998690</v>
      </c>
      <c r="C125" s="10" t="s">
        <v>10</v>
      </c>
      <c r="D125" s="10" t="s">
        <v>20</v>
      </c>
      <c r="E125" s="12">
        <v>41456</v>
      </c>
      <c r="F125" s="13">
        <v>0</v>
      </c>
      <c r="G125" s="13"/>
      <c r="H125" s="14"/>
      <c r="I125" s="11"/>
      <c r="J125" s="11"/>
    </row>
    <row r="126" spans="1:10" x14ac:dyDescent="0.25">
      <c r="A126" s="9" t="s">
        <v>153</v>
      </c>
      <c r="B126" s="17">
        <v>20174443522</v>
      </c>
      <c r="C126" s="10" t="s">
        <v>35</v>
      </c>
      <c r="D126" s="10" t="s">
        <v>154</v>
      </c>
      <c r="E126" s="12">
        <v>41369</v>
      </c>
      <c r="F126" s="13">
        <v>1431406.6670599054</v>
      </c>
      <c r="G126" s="13">
        <v>224926</v>
      </c>
      <c r="H126" s="14"/>
      <c r="I126" s="11"/>
      <c r="J126" s="11"/>
    </row>
    <row r="127" spans="1:10" x14ac:dyDescent="0.25">
      <c r="A127" s="9" t="s">
        <v>155</v>
      </c>
      <c r="B127" s="17">
        <v>20364904135</v>
      </c>
      <c r="C127" s="10" t="s">
        <v>10</v>
      </c>
      <c r="D127" s="10" t="s">
        <v>20</v>
      </c>
      <c r="E127" s="12">
        <v>43252</v>
      </c>
      <c r="F127" s="13">
        <v>71027.399000000005</v>
      </c>
      <c r="G127" s="13"/>
      <c r="H127" s="14"/>
      <c r="I127" s="11"/>
      <c r="J127" s="11"/>
    </row>
    <row r="128" spans="1:10" x14ac:dyDescent="0.25">
      <c r="A128" s="9" t="s">
        <v>156</v>
      </c>
      <c r="B128" s="17">
        <v>20315818401</v>
      </c>
      <c r="C128" s="10" t="s">
        <v>10</v>
      </c>
      <c r="D128" s="10" t="s">
        <v>15</v>
      </c>
      <c r="E128" s="12">
        <v>39692</v>
      </c>
      <c r="F128" s="13">
        <v>1132854.7321812925</v>
      </c>
      <c r="G128" s="13">
        <v>86928</v>
      </c>
      <c r="H128" s="14"/>
      <c r="I128" s="11"/>
      <c r="J128" s="11"/>
    </row>
    <row r="129" spans="1:10" x14ac:dyDescent="0.25">
      <c r="A129" s="9" t="s">
        <v>157</v>
      </c>
      <c r="B129" s="17">
        <v>20304575132</v>
      </c>
      <c r="C129" s="10" t="s">
        <v>35</v>
      </c>
      <c r="D129" s="10" t="s">
        <v>20</v>
      </c>
      <c r="E129" s="12">
        <v>39692</v>
      </c>
      <c r="F129" s="13">
        <v>180913.28948286569</v>
      </c>
      <c r="G129" s="11"/>
      <c r="H129" s="14"/>
      <c r="I129" s="11"/>
      <c r="J129" s="11"/>
    </row>
    <row r="130" spans="1:10" x14ac:dyDescent="0.25">
      <c r="A130" s="9" t="s">
        <v>158</v>
      </c>
      <c r="B130" s="17">
        <v>20237607962</v>
      </c>
      <c r="C130" s="10" t="s">
        <v>10</v>
      </c>
      <c r="D130" s="10" t="s">
        <v>20</v>
      </c>
      <c r="E130" s="12">
        <v>40119</v>
      </c>
      <c r="F130" s="13">
        <v>0</v>
      </c>
      <c r="G130" s="11"/>
      <c r="H130" s="14"/>
      <c r="I130" s="11"/>
      <c r="J130" s="11"/>
    </row>
    <row r="131" spans="1:10" x14ac:dyDescent="0.25">
      <c r="A131" s="9" t="s">
        <v>159</v>
      </c>
      <c r="B131" s="17">
        <v>20238999775</v>
      </c>
      <c r="C131" s="10" t="s">
        <v>10</v>
      </c>
      <c r="D131" s="10" t="s">
        <v>20</v>
      </c>
      <c r="E131" s="12">
        <v>38992</v>
      </c>
      <c r="F131" s="13">
        <v>0</v>
      </c>
      <c r="G131" s="11"/>
      <c r="H131" s="14"/>
      <c r="I131" s="11"/>
      <c r="J131" s="11"/>
    </row>
    <row r="132" spans="1:10" x14ac:dyDescent="0.25">
      <c r="A132" s="9" t="s">
        <v>160</v>
      </c>
      <c r="B132" s="17">
        <v>20169857386</v>
      </c>
      <c r="C132" s="10" t="s">
        <v>10</v>
      </c>
      <c r="D132" s="10" t="s">
        <v>20</v>
      </c>
      <c r="E132" s="12">
        <v>39482</v>
      </c>
      <c r="F132" s="13">
        <v>0</v>
      </c>
      <c r="G132" s="11"/>
      <c r="H132" s="14"/>
      <c r="I132" s="11"/>
      <c r="J132" s="11"/>
    </row>
    <row r="133" spans="1:10" x14ac:dyDescent="0.25">
      <c r="A133" s="9" t="s">
        <v>161</v>
      </c>
      <c r="B133" s="17">
        <v>20292911492</v>
      </c>
      <c r="C133" s="10" t="s">
        <v>10</v>
      </c>
      <c r="D133" s="10" t="s">
        <v>20</v>
      </c>
      <c r="E133" s="12">
        <v>38992</v>
      </c>
      <c r="F133" s="13">
        <v>0</v>
      </c>
      <c r="G133" s="11"/>
      <c r="H133" s="14"/>
      <c r="I133" s="11"/>
      <c r="J133" s="11"/>
    </row>
    <row r="134" spans="1:10" x14ac:dyDescent="0.25">
      <c r="A134" s="9" t="s">
        <v>162</v>
      </c>
      <c r="B134" s="17">
        <v>20928874002</v>
      </c>
      <c r="C134" s="10" t="s">
        <v>10</v>
      </c>
      <c r="D134" s="10" t="s">
        <v>20</v>
      </c>
      <c r="E134" s="12">
        <v>41883</v>
      </c>
      <c r="F134" s="13">
        <v>109272.12200000002</v>
      </c>
      <c r="G134" s="11"/>
      <c r="H134" s="14"/>
      <c r="I134" s="11"/>
      <c r="J134" s="11"/>
    </row>
    <row r="135" spans="1:10" x14ac:dyDescent="0.25">
      <c r="A135" s="9" t="s">
        <v>163</v>
      </c>
      <c r="B135" s="17">
        <v>20352938360</v>
      </c>
      <c r="C135" s="10" t="s">
        <v>10</v>
      </c>
      <c r="D135" s="10" t="s">
        <v>15</v>
      </c>
      <c r="E135" s="12">
        <v>42219</v>
      </c>
      <c r="F135" s="13">
        <v>577089.97684877296</v>
      </c>
      <c r="G135" s="11"/>
      <c r="H135" s="14"/>
      <c r="I135" s="11"/>
      <c r="J135" s="11"/>
    </row>
    <row r="136" spans="1:10" x14ac:dyDescent="0.25">
      <c r="A136" s="9" t="s">
        <v>164</v>
      </c>
      <c r="B136" s="17">
        <v>20345878921</v>
      </c>
      <c r="C136" s="10" t="s">
        <v>10</v>
      </c>
      <c r="D136" s="10" t="s">
        <v>11</v>
      </c>
      <c r="E136" s="12">
        <v>42506</v>
      </c>
      <c r="F136" s="13">
        <v>152980.97080000001</v>
      </c>
      <c r="G136" s="11"/>
      <c r="H136" s="14"/>
      <c r="I136" s="11"/>
      <c r="J136" s="11"/>
    </row>
    <row r="137" spans="1:10" x14ac:dyDescent="0.25">
      <c r="A137" s="9" t="s">
        <v>165</v>
      </c>
      <c r="B137" s="17">
        <v>23167284949</v>
      </c>
      <c r="C137" s="10" t="s">
        <v>10</v>
      </c>
      <c r="D137" s="10" t="s">
        <v>20</v>
      </c>
      <c r="E137" s="12">
        <v>38628</v>
      </c>
      <c r="F137" s="13">
        <v>0</v>
      </c>
      <c r="G137" s="11"/>
      <c r="H137" s="14"/>
      <c r="I137" s="11"/>
      <c r="J137" s="11"/>
    </row>
    <row r="138" spans="1:10" x14ac:dyDescent="0.25">
      <c r="A138" s="9" t="s">
        <v>166</v>
      </c>
      <c r="B138" s="17">
        <v>20429264554</v>
      </c>
      <c r="C138" s="10" t="s">
        <v>10</v>
      </c>
      <c r="D138" s="10" t="s">
        <v>16</v>
      </c>
      <c r="E138" s="12">
        <v>44410</v>
      </c>
      <c r="F138" s="13">
        <v>0</v>
      </c>
      <c r="G138" s="11"/>
      <c r="H138" s="14"/>
      <c r="I138" s="11"/>
      <c r="J138" s="11"/>
    </row>
    <row r="139" spans="1:10" x14ac:dyDescent="0.25">
      <c r="A139" s="9" t="s">
        <v>167</v>
      </c>
      <c r="B139" s="17">
        <v>27026353942</v>
      </c>
      <c r="C139" s="10" t="s">
        <v>63</v>
      </c>
      <c r="D139" s="10" t="s">
        <v>27</v>
      </c>
      <c r="E139" s="12">
        <v>37354</v>
      </c>
      <c r="F139" s="13">
        <v>0</v>
      </c>
      <c r="G139" s="11"/>
      <c r="H139" s="14">
        <v>-80485.78</v>
      </c>
      <c r="I139" s="11">
        <f>-92125-264823.99</f>
        <v>-356948.99</v>
      </c>
      <c r="J139" s="1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 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Etchevarne</dc:creator>
  <cp:lastModifiedBy>Usuario</cp:lastModifiedBy>
  <dcterms:created xsi:type="dcterms:W3CDTF">2026-02-23T16:06:13Z</dcterms:created>
  <dcterms:modified xsi:type="dcterms:W3CDTF">2026-02-26T12:20:50Z</dcterms:modified>
</cp:coreProperties>
</file>